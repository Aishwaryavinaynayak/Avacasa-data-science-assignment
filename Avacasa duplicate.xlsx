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inay\Downloads\"/>
    </mc:Choice>
  </mc:AlternateContent>
  <xr:revisionPtr revIDLastSave="0" documentId="13_ncr:1_{CCCF2D45-86C7-4FF5-90BB-9E42D4149ED7}" xr6:coauthVersionLast="47" xr6:coauthVersionMax="47" xr10:uidLastSave="{00000000-0000-0000-0000-000000000000}"/>
  <bookViews>
    <workbookView xWindow="-110" yWindow="-110" windowWidth="19420" windowHeight="10300" activeTab="2" xr2:uid="{115788C6-3673-4265-82A8-60945EE81649}"/>
  </bookViews>
  <sheets>
    <sheet name="MAIN" sheetId="5" r:id="rId1"/>
    <sheet name="MAPPING" sheetId="7" r:id="rId2"/>
    <sheet name="Submission_Template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5" l="1" a="1"/>
  <c r="AC3" i="5" a="1"/>
  <c r="AC4" i="5" a="1"/>
  <c r="AC5" i="5" a="1"/>
  <c r="AC6" i="5" a="1"/>
  <c r="AC7" i="5" a="1"/>
  <c r="AC8" i="5" a="1"/>
  <c r="AC9" i="5" a="1"/>
  <c r="AC10" i="5" a="1"/>
  <c r="AC11" i="5" a="1"/>
  <c r="AC12" i="5" a="1"/>
  <c r="AC13" i="5" a="1"/>
  <c r="AC14" i="5" a="1"/>
  <c r="AC15" i="5" a="1"/>
  <c r="AC16" i="5" a="1"/>
  <c r="AC17" i="5" a="1"/>
  <c r="AC18" i="5" a="1"/>
  <c r="AC19" i="5" a="1"/>
  <c r="AC20" i="5" a="1"/>
  <c r="AC21" i="5" a="1"/>
  <c r="AC22" i="5" a="1"/>
  <c r="AC23" i="5" a="1"/>
  <c r="AC24" i="5" a="1"/>
  <c r="AC25" i="5" a="1"/>
  <c r="AC26" i="5" a="1"/>
  <c r="AC27" i="5" a="1"/>
  <c r="AC28" i="5" a="1"/>
  <c r="AC29" i="5" a="1"/>
  <c r="AC30" i="5" a="1"/>
  <c r="AC31" i="5" a="1"/>
  <c r="AC32" i="5" a="1"/>
  <c r="AC33" i="5" a="1"/>
  <c r="AC34" i="5" a="1"/>
  <c r="AC35" i="5" a="1"/>
  <c r="AC36" i="5" a="1"/>
  <c r="AC37" i="5" a="1"/>
  <c r="AC38" i="5" a="1"/>
  <c r="AC39" i="5" a="1"/>
  <c r="AC40" i="5" a="1"/>
  <c r="AC41" i="5" a="1"/>
  <c r="AC42" i="5" a="1"/>
  <c r="AC43" i="5" a="1"/>
  <c r="AC44" i="5" a="1"/>
  <c r="AC45" i="5" a="1"/>
  <c r="AC46" i="5" a="1"/>
  <c r="AC47" i="5" a="1"/>
  <c r="AC48" i="5" a="1"/>
  <c r="AC49" i="5" a="1"/>
  <c r="AC50" i="5" a="1"/>
  <c r="AC51" i="5" a="1"/>
  <c r="AC52" i="5" a="1"/>
  <c r="AC53" i="5" a="1"/>
  <c r="AC54" i="5" a="1"/>
  <c r="AC55" i="5" a="1"/>
  <c r="AC56" i="5" a="1"/>
  <c r="AC57" i="5" a="1"/>
  <c r="AC58" i="5" a="1"/>
  <c r="AC59" i="5" a="1"/>
  <c r="AC60" i="5" a="1"/>
  <c r="AC61" i="5" a="1"/>
  <c r="AC62" i="5" a="1"/>
  <c r="AC63" i="5" a="1"/>
  <c r="AC64" i="5" a="1"/>
  <c r="AC65" i="5" a="1"/>
  <c r="AC66" i="5" a="1"/>
  <c r="AC67" i="5" a="1"/>
  <c r="AC68" i="5" a="1"/>
  <c r="AC69" i="5" a="1"/>
  <c r="AC70" i="5" a="1"/>
  <c r="AC71" i="5" a="1"/>
  <c r="AC72" i="5" a="1"/>
  <c r="AC73" i="5" a="1"/>
  <c r="AC74" i="5" a="1"/>
  <c r="AC75" i="5" a="1"/>
  <c r="AC76" i="5" a="1"/>
  <c r="AC77" i="5" a="1"/>
  <c r="AC78" i="5" a="1"/>
  <c r="AC79" i="5" a="1"/>
  <c r="AC80" i="5" a="1"/>
  <c r="AC81" i="5" a="1"/>
  <c r="AC82" i="5" a="1"/>
  <c r="AC83" i="5" a="1"/>
  <c r="AC84" i="5" a="1"/>
  <c r="AC85" i="5" a="1"/>
  <c r="AC86" i="5" a="1"/>
  <c r="AC87" i="5" a="1"/>
  <c r="AC88" i="5" a="1"/>
  <c r="AC89" i="5" a="1"/>
  <c r="AC90" i="5" a="1"/>
  <c r="AC91" i="5" a="1"/>
  <c r="AC92" i="5" a="1"/>
  <c r="AC93" i="5" a="1"/>
  <c r="AC94" i="5" a="1"/>
  <c r="AC95" i="5" a="1"/>
  <c r="AC96" i="5" a="1"/>
  <c r="AC97" i="5" a="1"/>
  <c r="AC98" i="5" a="1"/>
  <c r="AC99" i="5" a="1"/>
  <c r="AC100" i="5" a="1"/>
  <c r="AC101" i="5" a="1"/>
  <c r="AC102" i="5" a="1"/>
  <c r="AC103" i="5" a="1"/>
  <c r="AC104" i="5" a="1"/>
  <c r="AC105" i="5" a="1"/>
  <c r="AC106" i="5" a="1"/>
  <c r="AC107" i="5" a="1"/>
  <c r="AC108" i="5" a="1"/>
  <c r="AC109" i="5" a="1"/>
  <c r="AC110" i="5" a="1"/>
  <c r="AC111" i="5" a="1"/>
  <c r="AC112" i="5" a="1"/>
  <c r="AC113" i="5" a="1"/>
  <c r="AC114" i="5" a="1"/>
  <c r="AC115" i="5" a="1"/>
  <c r="AC116" i="5" a="1"/>
  <c r="AC117" i="5" a="1"/>
  <c r="AC118" i="5" a="1"/>
  <c r="AC119" i="5" a="1"/>
  <c r="AC120" i="5" a="1"/>
  <c r="AC121" i="5" a="1"/>
  <c r="AC122" i="5" a="1"/>
  <c r="AC123" i="5" a="1"/>
  <c r="AC124" i="5" a="1"/>
  <c r="AC125" i="5" a="1"/>
  <c r="AC126" i="5" a="1"/>
  <c r="AC127" i="5" a="1"/>
  <c r="AC128" i="5" a="1"/>
  <c r="AC129" i="5" a="1"/>
  <c r="AC130" i="5" a="1"/>
  <c r="AC131" i="5" a="1"/>
  <c r="AC132" i="5" a="1"/>
  <c r="AC133" i="5" a="1"/>
  <c r="AC134" i="5" a="1"/>
  <c r="AC135" i="5" a="1"/>
  <c r="AC136" i="5" a="1"/>
  <c r="AC137" i="5" a="1"/>
  <c r="AC138" i="5" a="1"/>
  <c r="AC139" i="5" a="1"/>
  <c r="AC140" i="5" a="1"/>
  <c r="AC141" i="5" a="1"/>
  <c r="AC142" i="5" a="1"/>
  <c r="AC143" i="5" a="1"/>
  <c r="AC144" i="5" a="1"/>
  <c r="AC145" i="5" a="1"/>
  <c r="AC146" i="5" a="1"/>
  <c r="AC147" i="5" a="1"/>
  <c r="AC148" i="5" a="1"/>
  <c r="AC149" i="5" a="1"/>
  <c r="AC150" i="5" a="1"/>
  <c r="AC151" i="5" a="1"/>
  <c r="AC152" i="5" a="1"/>
  <c r="AC153" i="5" a="1"/>
  <c r="AC154" i="5" a="1"/>
  <c r="AC155" i="5" a="1"/>
  <c r="AC156" i="5" a="1"/>
  <c r="AC157" i="5" a="1"/>
  <c r="AC158" i="5" a="1"/>
  <c r="AC159" i="5" a="1"/>
  <c r="AC160" i="5" a="1"/>
  <c r="AC161" i="5" a="1"/>
  <c r="AC162" i="5" a="1"/>
  <c r="AC163" i="5" a="1"/>
  <c r="AC164" i="5" a="1"/>
  <c r="AC165" i="5" a="1"/>
  <c r="AC166" i="5" a="1"/>
  <c r="AC167" i="5" a="1"/>
  <c r="AC168" i="5" a="1"/>
  <c r="AC169" i="5" a="1"/>
  <c r="AC170" i="5" a="1"/>
  <c r="AC171" i="5" a="1"/>
  <c r="AC172" i="5" a="1"/>
  <c r="AC173" i="5" a="1"/>
  <c r="AC174" i="5" a="1"/>
  <c r="AC175" i="5" a="1"/>
  <c r="AC176" i="5" a="1"/>
  <c r="AC177" i="5" a="1"/>
  <c r="AC178" i="5" a="1"/>
  <c r="AC179" i="5" a="1"/>
  <c r="AC180" i="5" a="1"/>
  <c r="AC181" i="5" a="1"/>
  <c r="AC182" i="5" a="1"/>
  <c r="AC183" i="5" a="1"/>
  <c r="AC184" i="5" a="1"/>
  <c r="AC185" i="5" a="1"/>
  <c r="AC186" i="5" a="1"/>
  <c r="AC187" i="5" a="1"/>
  <c r="AC188" i="5" a="1"/>
  <c r="AC189" i="5" a="1"/>
  <c r="AC190" i="5" a="1"/>
  <c r="AC191" i="5" a="1"/>
  <c r="AC192" i="5" a="1"/>
  <c r="AC193" i="5" a="1"/>
  <c r="AC194" i="5" a="1"/>
  <c r="AC195" i="5" a="1"/>
  <c r="AC196" i="5" a="1"/>
  <c r="AC197" i="5" a="1"/>
  <c r="AC198" i="5" a="1"/>
  <c r="AC199" i="5" a="1"/>
  <c r="AC200" i="5" a="1"/>
  <c r="AC201" i="5" a="1"/>
  <c r="AC202" i="5" a="1"/>
  <c r="AC203" i="5" a="1"/>
  <c r="AC204" i="5" a="1"/>
  <c r="AC205" i="5" a="1"/>
  <c r="AC206" i="5" a="1"/>
  <c r="AC207" i="5" a="1"/>
  <c r="AC208" i="5" a="1"/>
  <c r="AC209" i="5" a="1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P2" i="7" a="1"/>
  <c r="M2" i="7" a="1"/>
  <c r="J2" i="7" a="1"/>
  <c r="G2" i="7" a="1"/>
  <c r="D2" i="7" a="1"/>
  <c r="A5" i="7" l="1"/>
  <c r="A15" i="7"/>
  <c r="P34" i="5"/>
  <c r="P27" i="5"/>
  <c r="P25" i="5"/>
  <c r="P40" i="5"/>
  <c r="P39" i="5"/>
  <c r="P22" i="5"/>
  <c r="P21" i="5"/>
  <c r="P32" i="5"/>
  <c r="P2" i="5"/>
  <c r="P17" i="5"/>
  <c r="P195" i="5"/>
  <c r="P186" i="5"/>
  <c r="P194" i="5"/>
  <c r="P182" i="5"/>
  <c r="P203" i="5"/>
  <c r="P42" i="5"/>
  <c r="P31" i="5"/>
  <c r="P3" i="5"/>
  <c r="P38" i="5"/>
  <c r="P19" i="5"/>
  <c r="P20" i="5"/>
  <c r="P7" i="5"/>
  <c r="P13" i="5"/>
  <c r="P4" i="5"/>
  <c r="P43" i="5"/>
  <c r="P28" i="5"/>
  <c r="P15" i="5"/>
  <c r="P35" i="5"/>
  <c r="P10" i="5"/>
  <c r="P11" i="5"/>
  <c r="P37" i="5"/>
  <c r="P9" i="5"/>
  <c r="P36" i="5"/>
  <c r="P14" i="5"/>
  <c r="P5" i="5"/>
  <c r="P29" i="5"/>
  <c r="P8" i="5"/>
  <c r="P26" i="5"/>
  <c r="P16" i="5"/>
  <c r="P30" i="5"/>
  <c r="P41" i="5"/>
  <c r="P18" i="5"/>
  <c r="P12" i="5"/>
  <c r="P24" i="5"/>
  <c r="P33" i="5"/>
  <c r="P6" i="5"/>
  <c r="P23" i="5"/>
  <c r="P88" i="5"/>
  <c r="P113" i="5"/>
  <c r="P126" i="5"/>
  <c r="P106" i="5"/>
  <c r="P97" i="5"/>
  <c r="P107" i="5"/>
  <c r="P91" i="5"/>
  <c r="P121" i="5"/>
  <c r="P123" i="5"/>
  <c r="P96" i="5"/>
  <c r="P120" i="5"/>
  <c r="P99" i="5"/>
  <c r="P101" i="5"/>
  <c r="P100" i="5"/>
  <c r="P127" i="5"/>
  <c r="P114" i="5"/>
  <c r="P125" i="5"/>
  <c r="P98" i="5"/>
  <c r="P93" i="5"/>
  <c r="P118" i="5"/>
  <c r="P208" i="5"/>
  <c r="P103" i="5"/>
  <c r="P124" i="5"/>
  <c r="P122" i="5"/>
  <c r="P90" i="5"/>
  <c r="P89" i="5"/>
  <c r="P108" i="5"/>
  <c r="P119" i="5"/>
  <c r="P87" i="5"/>
  <c r="P105" i="5"/>
  <c r="P92" i="5"/>
  <c r="P95" i="5"/>
  <c r="P104" i="5"/>
  <c r="P112" i="5"/>
  <c r="P205" i="5"/>
  <c r="P209" i="5"/>
  <c r="P102" i="5"/>
  <c r="P111" i="5"/>
  <c r="P116" i="5"/>
  <c r="P86" i="5"/>
  <c r="P115" i="5"/>
  <c r="P109" i="5"/>
  <c r="P117" i="5"/>
  <c r="P94" i="5"/>
  <c r="P155" i="5"/>
  <c r="P143" i="5"/>
  <c r="P150" i="5"/>
  <c r="P163" i="5"/>
  <c r="P137" i="5"/>
  <c r="P135" i="5"/>
  <c r="P140" i="5"/>
  <c r="P136" i="5"/>
  <c r="P128" i="5"/>
  <c r="P159" i="5"/>
  <c r="P130" i="5"/>
  <c r="P132" i="5"/>
  <c r="P138" i="5"/>
  <c r="P133" i="5"/>
  <c r="P129" i="5"/>
  <c r="P151" i="5"/>
  <c r="P134" i="5"/>
  <c r="P157" i="5"/>
  <c r="P131" i="5"/>
  <c r="P148" i="5"/>
  <c r="P153" i="5"/>
  <c r="P142" i="5"/>
  <c r="P146" i="5"/>
  <c r="P158" i="5"/>
  <c r="P152" i="5"/>
  <c r="P145" i="5"/>
  <c r="P139" i="5"/>
  <c r="P190" i="5"/>
  <c r="P171" i="5"/>
  <c r="P189" i="5"/>
  <c r="P177" i="5"/>
  <c r="P174" i="5"/>
  <c r="P201" i="5"/>
  <c r="P192" i="5"/>
  <c r="P170" i="5"/>
  <c r="P193" i="5"/>
  <c r="P168" i="5"/>
  <c r="P196" i="5"/>
  <c r="P167" i="5"/>
  <c r="P207" i="5"/>
  <c r="P172" i="5"/>
  <c r="P191" i="5"/>
  <c r="P184" i="5"/>
  <c r="P185" i="5"/>
  <c r="P197" i="5"/>
  <c r="P188" i="5"/>
  <c r="P178" i="5"/>
  <c r="P202" i="5"/>
  <c r="P176" i="5"/>
  <c r="P199" i="5"/>
  <c r="P175" i="5"/>
  <c r="P200" i="5"/>
  <c r="P179" i="5"/>
  <c r="P183" i="5"/>
  <c r="P165" i="5"/>
  <c r="P187" i="5"/>
  <c r="P169" i="5"/>
  <c r="P198" i="5"/>
  <c r="P181" i="5"/>
  <c r="P206" i="5"/>
  <c r="P180" i="5"/>
  <c r="P173" i="5"/>
  <c r="P84" i="5"/>
  <c r="P47" i="5"/>
  <c r="P204" i="5"/>
  <c r="P56" i="5"/>
  <c r="P72" i="5"/>
  <c r="P63" i="5"/>
  <c r="P78" i="5"/>
  <c r="P49" i="5"/>
  <c r="P70" i="5"/>
  <c r="P85" i="5"/>
  <c r="P51" i="5"/>
  <c r="P71" i="5"/>
  <c r="P81" i="5"/>
  <c r="P65" i="5"/>
  <c r="P77" i="5"/>
  <c r="P66" i="5"/>
  <c r="P68" i="5"/>
  <c r="P46" i="5"/>
  <c r="P48" i="5"/>
  <c r="P67" i="5"/>
  <c r="P83" i="5"/>
  <c r="P53" i="5"/>
  <c r="P69" i="5"/>
  <c r="P74" i="5"/>
  <c r="P64" i="5"/>
  <c r="P80" i="5"/>
  <c r="P62" i="5"/>
  <c r="P79" i="5"/>
  <c r="P55" i="5"/>
  <c r="P57" i="5"/>
  <c r="P45" i="5"/>
  <c r="P76" i="5"/>
  <c r="P52" i="5"/>
  <c r="P50" i="5"/>
  <c r="P54" i="5"/>
  <c r="P73" i="5"/>
  <c r="P59" i="5"/>
  <c r="P61" i="5"/>
  <c r="P44" i="5"/>
  <c r="P58" i="5"/>
  <c r="P82" i="5"/>
  <c r="P75" i="5"/>
  <c r="P60" i="5"/>
  <c r="P156" i="5"/>
  <c r="P141" i="5"/>
  <c r="P147" i="5"/>
  <c r="P160" i="5"/>
  <c r="P144" i="5"/>
  <c r="P154" i="5"/>
  <c r="P162" i="5"/>
  <c r="P149" i="5"/>
  <c r="P161" i="5"/>
  <c r="P110" i="5"/>
  <c r="P166" i="5"/>
  <c r="P164" i="5"/>
  <c r="O110" i="5"/>
  <c r="O208" i="5"/>
  <c r="O103" i="5"/>
  <c r="O124" i="5"/>
  <c r="O122" i="5"/>
  <c r="O90" i="5"/>
  <c r="O89" i="5"/>
  <c r="O108" i="5"/>
  <c r="O119" i="5"/>
  <c r="O87" i="5"/>
  <c r="O105" i="5"/>
  <c r="O92" i="5"/>
  <c r="O95" i="5"/>
  <c r="O104" i="5"/>
  <c r="O112" i="5"/>
  <c r="O205" i="5"/>
  <c r="O209" i="5"/>
  <c r="O102" i="5"/>
  <c r="O111" i="5"/>
  <c r="O116" i="5"/>
  <c r="O86" i="5"/>
  <c r="O115" i="5"/>
  <c r="O109" i="5"/>
  <c r="O117" i="5"/>
  <c r="O94" i="5"/>
  <c r="O155" i="5"/>
  <c r="O143" i="5"/>
  <c r="O150" i="5"/>
  <c r="O163" i="5"/>
  <c r="O137" i="5"/>
  <c r="O135" i="5"/>
  <c r="O140" i="5"/>
  <c r="O136" i="5"/>
  <c r="O128" i="5"/>
  <c r="O159" i="5"/>
  <c r="O130" i="5"/>
  <c r="O132" i="5"/>
  <c r="O138" i="5"/>
  <c r="O133" i="5"/>
  <c r="O129" i="5"/>
  <c r="O151" i="5"/>
  <c r="O134" i="5"/>
  <c r="O157" i="5"/>
  <c r="O131" i="5"/>
  <c r="O148" i="5"/>
  <c r="O153" i="5"/>
  <c r="O142" i="5"/>
  <c r="O146" i="5"/>
  <c r="O158" i="5"/>
  <c r="O152" i="5"/>
  <c r="O145" i="5"/>
  <c r="O139" i="5"/>
  <c r="O190" i="5"/>
  <c r="O171" i="5"/>
  <c r="O189" i="5"/>
  <c r="O177" i="5"/>
  <c r="O174" i="5"/>
  <c r="O201" i="5"/>
  <c r="O192" i="5"/>
  <c r="O170" i="5"/>
  <c r="O193" i="5"/>
  <c r="O168" i="5"/>
  <c r="O196" i="5"/>
  <c r="O167" i="5"/>
  <c r="O207" i="5"/>
  <c r="O172" i="5"/>
  <c r="O191" i="5"/>
  <c r="O184" i="5"/>
  <c r="O185" i="5"/>
  <c r="O197" i="5"/>
  <c r="O188" i="5"/>
  <c r="O178" i="5"/>
  <c r="O202" i="5"/>
  <c r="O176" i="5"/>
  <c r="O199" i="5"/>
  <c r="O175" i="5"/>
  <c r="O200" i="5"/>
  <c r="O179" i="5"/>
  <c r="O183" i="5"/>
  <c r="O165" i="5"/>
  <c r="O187" i="5"/>
  <c r="O169" i="5"/>
  <c r="O198" i="5"/>
  <c r="O181" i="5"/>
  <c r="O206" i="5"/>
  <c r="O180" i="5"/>
  <c r="O173" i="5"/>
  <c r="O84" i="5"/>
  <c r="O47" i="5"/>
  <c r="O204" i="5"/>
  <c r="O56" i="5"/>
  <c r="O72" i="5"/>
  <c r="O63" i="5"/>
  <c r="O78" i="5"/>
  <c r="O49" i="5"/>
  <c r="O70" i="5"/>
  <c r="O85" i="5"/>
  <c r="O51" i="5"/>
  <c r="O71" i="5"/>
  <c r="O81" i="5"/>
  <c r="O65" i="5"/>
  <c r="O77" i="5"/>
  <c r="O66" i="5"/>
  <c r="O68" i="5"/>
  <c r="O46" i="5"/>
  <c r="O48" i="5"/>
  <c r="O67" i="5"/>
  <c r="O83" i="5"/>
  <c r="O53" i="5"/>
  <c r="O69" i="5"/>
  <c r="O74" i="5"/>
  <c r="O64" i="5"/>
  <c r="O80" i="5"/>
  <c r="O62" i="5"/>
  <c r="O79" i="5"/>
  <c r="O55" i="5"/>
  <c r="O57" i="5"/>
  <c r="O45" i="5"/>
  <c r="O76" i="5"/>
  <c r="O52" i="5"/>
  <c r="O50" i="5"/>
  <c r="O54" i="5"/>
  <c r="O73" i="5"/>
  <c r="O59" i="5"/>
  <c r="O61" i="5"/>
  <c r="O44" i="5"/>
  <c r="O58" i="5"/>
  <c r="O82" i="5"/>
  <c r="O75" i="5"/>
  <c r="O60" i="5"/>
  <c r="O156" i="5"/>
  <c r="O141" i="5"/>
  <c r="O147" i="5"/>
  <c r="O160" i="5"/>
  <c r="O144" i="5"/>
  <c r="O154" i="5"/>
  <c r="O162" i="5"/>
  <c r="O149" i="5"/>
  <c r="O161" i="5"/>
  <c r="O34" i="5"/>
  <c r="O27" i="5"/>
  <c r="O25" i="5"/>
  <c r="O40" i="5"/>
  <c r="O39" i="5"/>
  <c r="O22" i="5"/>
  <c r="O21" i="5"/>
  <c r="O32" i="5"/>
  <c r="O2" i="5"/>
  <c r="O17" i="5"/>
  <c r="O195" i="5"/>
  <c r="O186" i="5"/>
  <c r="O194" i="5"/>
  <c r="O182" i="5"/>
  <c r="O203" i="5"/>
  <c r="O42" i="5"/>
  <c r="O31" i="5"/>
  <c r="O3" i="5"/>
  <c r="O38" i="5"/>
  <c r="O19" i="5"/>
  <c r="O20" i="5"/>
  <c r="O7" i="5"/>
  <c r="O13" i="5"/>
  <c r="O4" i="5"/>
  <c r="O43" i="5"/>
  <c r="O28" i="5"/>
  <c r="O15" i="5"/>
  <c r="O35" i="5"/>
  <c r="O10" i="5"/>
  <c r="O11" i="5"/>
  <c r="O37" i="5"/>
  <c r="O9" i="5"/>
  <c r="O36" i="5"/>
  <c r="O14" i="5"/>
  <c r="O5" i="5"/>
  <c r="O29" i="5"/>
  <c r="O8" i="5"/>
  <c r="O26" i="5"/>
  <c r="O16" i="5"/>
  <c r="O30" i="5"/>
  <c r="O41" i="5"/>
  <c r="O18" i="5"/>
  <c r="O12" i="5"/>
  <c r="O24" i="5"/>
  <c r="O33" i="5"/>
  <c r="O6" i="5"/>
  <c r="O23" i="5"/>
  <c r="O88" i="5"/>
  <c r="O113" i="5"/>
  <c r="O126" i="5"/>
  <c r="O106" i="5"/>
  <c r="O97" i="5"/>
  <c r="O107" i="5"/>
  <c r="O91" i="5"/>
  <c r="O121" i="5"/>
  <c r="O123" i="5"/>
  <c r="O96" i="5"/>
  <c r="O120" i="5"/>
  <c r="O99" i="5"/>
  <c r="O101" i="5"/>
  <c r="O100" i="5"/>
  <c r="O127" i="5"/>
  <c r="O114" i="5"/>
  <c r="O125" i="5"/>
  <c r="O98" i="5"/>
  <c r="O93" i="5"/>
  <c r="O118" i="5"/>
  <c r="O166" i="5"/>
  <c r="O164" i="5"/>
  <c r="N27" i="5"/>
  <c r="N25" i="5"/>
  <c r="N40" i="5"/>
  <c r="N39" i="5"/>
  <c r="N22" i="5"/>
  <c r="N21" i="5"/>
  <c r="N32" i="5"/>
  <c r="N2" i="5"/>
  <c r="N17" i="5"/>
  <c r="N195" i="5"/>
  <c r="N186" i="5"/>
  <c r="N194" i="5"/>
  <c r="N182" i="5"/>
  <c r="N203" i="5"/>
  <c r="N42" i="5"/>
  <c r="N31" i="5"/>
  <c r="N3" i="5"/>
  <c r="N38" i="5"/>
  <c r="N19" i="5"/>
  <c r="N20" i="5"/>
  <c r="N7" i="5"/>
  <c r="N13" i="5"/>
  <c r="N4" i="5"/>
  <c r="N43" i="5"/>
  <c r="N28" i="5"/>
  <c r="N15" i="5"/>
  <c r="N35" i="5"/>
  <c r="N10" i="5"/>
  <c r="N11" i="5"/>
  <c r="N37" i="5"/>
  <c r="N9" i="5"/>
  <c r="N36" i="5"/>
  <c r="N14" i="5"/>
  <c r="N5" i="5"/>
  <c r="N29" i="5"/>
  <c r="N8" i="5"/>
  <c r="N26" i="5"/>
  <c r="N16" i="5"/>
  <c r="N30" i="5"/>
  <c r="N41" i="5"/>
  <c r="N18" i="5"/>
  <c r="N12" i="5"/>
  <c r="N24" i="5"/>
  <c r="N33" i="5"/>
  <c r="N6" i="5"/>
  <c r="N23" i="5"/>
  <c r="N88" i="5"/>
  <c r="N113" i="5"/>
  <c r="N126" i="5"/>
  <c r="N106" i="5"/>
  <c r="N97" i="5"/>
  <c r="N107" i="5"/>
  <c r="N91" i="5"/>
  <c r="N121" i="5"/>
  <c r="N123" i="5"/>
  <c r="N96" i="5"/>
  <c r="N120" i="5"/>
  <c r="N99" i="5"/>
  <c r="N101" i="5"/>
  <c r="N100" i="5"/>
  <c r="N127" i="5"/>
  <c r="N114" i="5"/>
  <c r="N125" i="5"/>
  <c r="N98" i="5"/>
  <c r="N93" i="5"/>
  <c r="N118" i="5"/>
  <c r="N110" i="5"/>
  <c r="N34" i="5"/>
  <c r="N208" i="5"/>
  <c r="N103" i="5"/>
  <c r="N124" i="5"/>
  <c r="N122" i="5"/>
  <c r="N90" i="5"/>
  <c r="N89" i="5"/>
  <c r="N108" i="5"/>
  <c r="N119" i="5"/>
  <c r="N87" i="5"/>
  <c r="N105" i="5"/>
  <c r="N92" i="5"/>
  <c r="N95" i="5"/>
  <c r="N104" i="5"/>
  <c r="N112" i="5"/>
  <c r="N205" i="5"/>
  <c r="N209" i="5"/>
  <c r="N102" i="5"/>
  <c r="N111" i="5"/>
  <c r="N116" i="5"/>
  <c r="N86" i="5"/>
  <c r="N115" i="5"/>
  <c r="N109" i="5"/>
  <c r="N117" i="5"/>
  <c r="N94" i="5"/>
  <c r="N155" i="5"/>
  <c r="N143" i="5"/>
  <c r="N150" i="5"/>
  <c r="N163" i="5"/>
  <c r="N137" i="5"/>
  <c r="N135" i="5"/>
  <c r="N140" i="5"/>
  <c r="N136" i="5"/>
  <c r="N128" i="5"/>
  <c r="N159" i="5"/>
  <c r="N130" i="5"/>
  <c r="N132" i="5"/>
  <c r="N138" i="5"/>
  <c r="N133" i="5"/>
  <c r="N129" i="5"/>
  <c r="N151" i="5"/>
  <c r="N134" i="5"/>
  <c r="N157" i="5"/>
  <c r="N131" i="5"/>
  <c r="N148" i="5"/>
  <c r="N153" i="5"/>
  <c r="N142" i="5"/>
  <c r="N146" i="5"/>
  <c r="N158" i="5"/>
  <c r="N152" i="5"/>
  <c r="N145" i="5"/>
  <c r="N139" i="5"/>
  <c r="N190" i="5"/>
  <c r="N171" i="5"/>
  <c r="N189" i="5"/>
  <c r="N177" i="5"/>
  <c r="N174" i="5"/>
  <c r="N201" i="5"/>
  <c r="N192" i="5"/>
  <c r="N170" i="5"/>
  <c r="N193" i="5"/>
  <c r="N168" i="5"/>
  <c r="N196" i="5"/>
  <c r="N167" i="5"/>
  <c r="N207" i="5"/>
  <c r="N172" i="5"/>
  <c r="N191" i="5"/>
  <c r="N184" i="5"/>
  <c r="N185" i="5"/>
  <c r="N197" i="5"/>
  <c r="N166" i="5"/>
  <c r="N188" i="5"/>
  <c r="N178" i="5"/>
  <c r="N202" i="5"/>
  <c r="N176" i="5"/>
  <c r="N199" i="5"/>
  <c r="N175" i="5"/>
  <c r="N200" i="5"/>
  <c r="N179" i="5"/>
  <c r="N183" i="5"/>
  <c r="N165" i="5"/>
  <c r="N187" i="5"/>
  <c r="N169" i="5"/>
  <c r="N198" i="5"/>
  <c r="N181" i="5"/>
  <c r="N206" i="5"/>
  <c r="N180" i="5"/>
  <c r="N173" i="5"/>
  <c r="N84" i="5"/>
  <c r="N47" i="5"/>
  <c r="N204" i="5"/>
  <c r="N56" i="5"/>
  <c r="N72" i="5"/>
  <c r="N63" i="5"/>
  <c r="N78" i="5"/>
  <c r="N49" i="5"/>
  <c r="N70" i="5"/>
  <c r="N85" i="5"/>
  <c r="N51" i="5"/>
  <c r="N71" i="5"/>
  <c r="N81" i="5"/>
  <c r="N65" i="5"/>
  <c r="N77" i="5"/>
  <c r="N66" i="5"/>
  <c r="N68" i="5"/>
  <c r="N46" i="5"/>
  <c r="N48" i="5"/>
  <c r="N67" i="5"/>
  <c r="N83" i="5"/>
  <c r="N53" i="5"/>
  <c r="N69" i="5"/>
  <c r="N74" i="5"/>
  <c r="N64" i="5"/>
  <c r="N80" i="5"/>
  <c r="N62" i="5"/>
  <c r="N79" i="5"/>
  <c r="N55" i="5"/>
  <c r="N57" i="5"/>
  <c r="N45" i="5"/>
  <c r="N76" i="5"/>
  <c r="N52" i="5"/>
  <c r="N50" i="5"/>
  <c r="N54" i="5"/>
  <c r="N73" i="5"/>
  <c r="N59" i="5"/>
  <c r="N61" i="5"/>
  <c r="N44" i="5"/>
  <c r="N58" i="5"/>
  <c r="N82" i="5"/>
  <c r="N75" i="5"/>
  <c r="N60" i="5"/>
  <c r="N156" i="5"/>
  <c r="N141" i="5"/>
  <c r="N147" i="5"/>
  <c r="N160" i="5"/>
  <c r="N144" i="5"/>
  <c r="N154" i="5"/>
  <c r="N162" i="5"/>
  <c r="N149" i="5"/>
  <c r="N161" i="5"/>
  <c r="N164" i="5"/>
  <c r="A13" i="7"/>
  <c r="A8" i="7"/>
  <c r="A3" i="7"/>
  <c r="A4" i="7"/>
  <c r="A6" i="7"/>
  <c r="A7" i="7"/>
  <c r="A9" i="7"/>
  <c r="A10" i="7"/>
  <c r="A11" i="7"/>
  <c r="A12" i="7"/>
  <c r="A14" i="7"/>
  <c r="A16" i="7"/>
  <c r="A17" i="7"/>
  <c r="A18" i="7"/>
  <c r="A19" i="7"/>
  <c r="A20" i="7"/>
  <c r="A21" i="7"/>
  <c r="A22" i="7"/>
  <c r="A23" i="7"/>
  <c r="A2" i="7"/>
  <c r="S34" i="5" l="1"/>
  <c r="Y34" i="5"/>
  <c r="S27" i="5"/>
  <c r="Y27" i="5"/>
  <c r="S25" i="5"/>
  <c r="Y25" i="5"/>
  <c r="S40" i="5"/>
  <c r="Y40" i="5"/>
  <c r="S39" i="5"/>
  <c r="Y39" i="5"/>
  <c r="S22" i="5"/>
  <c r="Y22" i="5"/>
  <c r="S21" i="5"/>
  <c r="Y21" i="5"/>
  <c r="S32" i="5"/>
  <c r="Y32" i="5"/>
  <c r="S2" i="5"/>
  <c r="Y2" i="5"/>
  <c r="S17" i="5"/>
  <c r="Y17" i="5"/>
  <c r="S195" i="5"/>
  <c r="Y195" i="5"/>
  <c r="S186" i="5"/>
  <c r="Y186" i="5"/>
  <c r="S194" i="5"/>
  <c r="Y194" i="5"/>
  <c r="S182" i="5"/>
  <c r="Y182" i="5"/>
  <c r="S203" i="5"/>
  <c r="Y203" i="5"/>
  <c r="S42" i="5"/>
  <c r="Y42" i="5"/>
  <c r="S31" i="5"/>
  <c r="Y31" i="5"/>
  <c r="S3" i="5"/>
  <c r="Y3" i="5"/>
  <c r="S38" i="5"/>
  <c r="Y38" i="5"/>
  <c r="S19" i="5"/>
  <c r="Y19" i="5"/>
  <c r="S20" i="5"/>
  <c r="Y20" i="5"/>
  <c r="S7" i="5"/>
  <c r="Y7" i="5"/>
  <c r="S13" i="5"/>
  <c r="Y13" i="5"/>
  <c r="S4" i="5"/>
  <c r="Y4" i="5"/>
  <c r="S43" i="5"/>
  <c r="Y43" i="5"/>
  <c r="S28" i="5"/>
  <c r="Y28" i="5"/>
  <c r="S15" i="5"/>
  <c r="Y15" i="5"/>
  <c r="S35" i="5"/>
  <c r="Y35" i="5"/>
  <c r="S10" i="5"/>
  <c r="Y10" i="5"/>
  <c r="S11" i="5"/>
  <c r="Y11" i="5"/>
  <c r="S37" i="5"/>
  <c r="Y37" i="5"/>
  <c r="S9" i="5"/>
  <c r="Y9" i="5"/>
  <c r="S36" i="5"/>
  <c r="Y36" i="5"/>
  <c r="S14" i="5"/>
  <c r="Y14" i="5"/>
  <c r="S5" i="5"/>
  <c r="Y5" i="5"/>
  <c r="S29" i="5"/>
  <c r="Y29" i="5"/>
  <c r="S8" i="5"/>
  <c r="Y8" i="5"/>
  <c r="S26" i="5"/>
  <c r="Y26" i="5"/>
  <c r="S16" i="5"/>
  <c r="Y16" i="5"/>
  <c r="S30" i="5"/>
  <c r="Y30" i="5"/>
  <c r="S41" i="5"/>
  <c r="Y41" i="5"/>
  <c r="S18" i="5"/>
  <c r="Y18" i="5"/>
  <c r="S12" i="5"/>
  <c r="Y12" i="5"/>
  <c r="S24" i="5"/>
  <c r="Y24" i="5"/>
  <c r="S33" i="5"/>
  <c r="Y33" i="5"/>
  <c r="S6" i="5"/>
  <c r="Y6" i="5"/>
  <c r="S23" i="5"/>
  <c r="Y23" i="5"/>
  <c r="S88" i="5"/>
  <c r="Y88" i="5"/>
  <c r="S113" i="5"/>
  <c r="Y113" i="5"/>
  <c r="S126" i="5"/>
  <c r="Y126" i="5"/>
  <c r="S106" i="5"/>
  <c r="Y106" i="5"/>
  <c r="S97" i="5"/>
  <c r="Y97" i="5"/>
  <c r="S107" i="5"/>
  <c r="Y107" i="5"/>
  <c r="S91" i="5"/>
  <c r="Y91" i="5"/>
  <c r="S121" i="5"/>
  <c r="Y121" i="5"/>
  <c r="S123" i="5"/>
  <c r="Y123" i="5"/>
  <c r="S96" i="5"/>
  <c r="Y96" i="5"/>
  <c r="S120" i="5"/>
  <c r="Y120" i="5"/>
  <c r="S99" i="5"/>
  <c r="Y99" i="5"/>
  <c r="S101" i="5"/>
  <c r="Y101" i="5"/>
  <c r="S100" i="5"/>
  <c r="Y100" i="5"/>
  <c r="S127" i="5"/>
  <c r="Y127" i="5"/>
  <c r="S114" i="5"/>
  <c r="Y114" i="5"/>
  <c r="S125" i="5"/>
  <c r="Y125" i="5"/>
  <c r="S98" i="5"/>
  <c r="Y98" i="5"/>
  <c r="S93" i="5"/>
  <c r="Y93" i="5"/>
  <c r="S118" i="5"/>
  <c r="Y118" i="5"/>
  <c r="S208" i="5"/>
  <c r="Y208" i="5"/>
  <c r="S103" i="5"/>
  <c r="Y103" i="5"/>
  <c r="S124" i="5"/>
  <c r="Y124" i="5"/>
  <c r="S122" i="5"/>
  <c r="Y122" i="5"/>
  <c r="S90" i="5"/>
  <c r="Y90" i="5"/>
  <c r="S89" i="5"/>
  <c r="Y89" i="5"/>
  <c r="S108" i="5"/>
  <c r="Y108" i="5"/>
  <c r="S119" i="5"/>
  <c r="Y119" i="5"/>
  <c r="S87" i="5"/>
  <c r="Y87" i="5"/>
  <c r="S105" i="5"/>
  <c r="Y105" i="5"/>
  <c r="S92" i="5"/>
  <c r="Y92" i="5"/>
  <c r="S95" i="5"/>
  <c r="Y95" i="5"/>
  <c r="S104" i="5"/>
  <c r="Y104" i="5"/>
  <c r="S112" i="5"/>
  <c r="Y112" i="5"/>
  <c r="S205" i="5"/>
  <c r="Y205" i="5"/>
  <c r="S209" i="5"/>
  <c r="Y209" i="5"/>
  <c r="S102" i="5"/>
  <c r="Y102" i="5"/>
  <c r="S111" i="5"/>
  <c r="Y111" i="5"/>
  <c r="S116" i="5"/>
  <c r="Y116" i="5"/>
  <c r="S86" i="5"/>
  <c r="Y86" i="5"/>
  <c r="S115" i="5"/>
  <c r="Y115" i="5"/>
  <c r="S109" i="5"/>
  <c r="Y109" i="5"/>
  <c r="S117" i="5"/>
  <c r="Y117" i="5"/>
  <c r="S94" i="5"/>
  <c r="Y94" i="5"/>
  <c r="S155" i="5"/>
  <c r="Y155" i="5"/>
  <c r="S143" i="5"/>
  <c r="Y143" i="5"/>
  <c r="S150" i="5"/>
  <c r="Y150" i="5"/>
  <c r="S163" i="5"/>
  <c r="Y163" i="5"/>
  <c r="S137" i="5"/>
  <c r="Y137" i="5"/>
  <c r="S135" i="5"/>
  <c r="Y135" i="5"/>
  <c r="S140" i="5"/>
  <c r="Y140" i="5"/>
  <c r="S136" i="5"/>
  <c r="Y136" i="5"/>
  <c r="S128" i="5"/>
  <c r="Y128" i="5"/>
  <c r="S159" i="5"/>
  <c r="Y159" i="5"/>
  <c r="S130" i="5"/>
  <c r="Y130" i="5"/>
  <c r="S132" i="5"/>
  <c r="Y132" i="5"/>
  <c r="S138" i="5"/>
  <c r="Y138" i="5"/>
  <c r="S133" i="5"/>
  <c r="Y133" i="5"/>
  <c r="S129" i="5"/>
  <c r="Y129" i="5"/>
  <c r="S151" i="5"/>
  <c r="Y151" i="5"/>
  <c r="S134" i="5"/>
  <c r="Y134" i="5"/>
  <c r="S157" i="5"/>
  <c r="Y157" i="5"/>
  <c r="S131" i="5"/>
  <c r="Y131" i="5"/>
  <c r="S148" i="5"/>
  <c r="Y148" i="5"/>
  <c r="S153" i="5"/>
  <c r="Y153" i="5"/>
  <c r="S142" i="5"/>
  <c r="Y142" i="5"/>
  <c r="S146" i="5"/>
  <c r="Y146" i="5"/>
  <c r="S158" i="5"/>
  <c r="Y158" i="5"/>
  <c r="S152" i="5"/>
  <c r="Y152" i="5"/>
  <c r="S145" i="5"/>
  <c r="Y145" i="5"/>
  <c r="S139" i="5"/>
  <c r="Y139" i="5"/>
  <c r="S190" i="5"/>
  <c r="Y190" i="5"/>
  <c r="S171" i="5"/>
  <c r="Y171" i="5"/>
  <c r="S189" i="5"/>
  <c r="Y189" i="5"/>
  <c r="S177" i="5"/>
  <c r="Y177" i="5"/>
  <c r="S174" i="5"/>
  <c r="Y174" i="5"/>
  <c r="S201" i="5"/>
  <c r="Y201" i="5"/>
  <c r="S192" i="5"/>
  <c r="Y192" i="5"/>
  <c r="S170" i="5"/>
  <c r="Y170" i="5"/>
  <c r="S193" i="5"/>
  <c r="Y193" i="5"/>
  <c r="S168" i="5"/>
  <c r="Y168" i="5"/>
  <c r="S196" i="5"/>
  <c r="Y196" i="5"/>
  <c r="S167" i="5"/>
  <c r="Y167" i="5"/>
  <c r="S207" i="5"/>
  <c r="Y207" i="5"/>
  <c r="S172" i="5"/>
  <c r="Y172" i="5"/>
  <c r="S191" i="5"/>
  <c r="Y191" i="5"/>
  <c r="S184" i="5"/>
  <c r="Y184" i="5"/>
  <c r="S185" i="5"/>
  <c r="Y185" i="5"/>
  <c r="S197" i="5"/>
  <c r="Y197" i="5"/>
  <c r="S188" i="5"/>
  <c r="Y188" i="5"/>
  <c r="S178" i="5"/>
  <c r="Y178" i="5"/>
  <c r="S202" i="5"/>
  <c r="Y202" i="5"/>
  <c r="S176" i="5"/>
  <c r="Y176" i="5"/>
  <c r="S199" i="5"/>
  <c r="Y199" i="5"/>
  <c r="S175" i="5"/>
  <c r="Y175" i="5"/>
  <c r="S200" i="5"/>
  <c r="Y200" i="5"/>
  <c r="S179" i="5"/>
  <c r="Y179" i="5"/>
  <c r="S183" i="5"/>
  <c r="Y183" i="5"/>
  <c r="S165" i="5"/>
  <c r="Y165" i="5"/>
  <c r="S187" i="5"/>
  <c r="Y187" i="5"/>
  <c r="S169" i="5"/>
  <c r="Y169" i="5"/>
  <c r="S198" i="5"/>
  <c r="Y198" i="5"/>
  <c r="S181" i="5"/>
  <c r="Y181" i="5"/>
  <c r="S206" i="5"/>
  <c r="Y206" i="5"/>
  <c r="S180" i="5"/>
  <c r="Y180" i="5"/>
  <c r="S173" i="5"/>
  <c r="Y173" i="5"/>
  <c r="S84" i="5"/>
  <c r="Y84" i="5"/>
  <c r="S47" i="5"/>
  <c r="Y47" i="5"/>
  <c r="S204" i="5"/>
  <c r="Y204" i="5"/>
  <c r="S56" i="5"/>
  <c r="Y56" i="5"/>
  <c r="S72" i="5"/>
  <c r="Y72" i="5"/>
  <c r="S63" i="5"/>
  <c r="Y63" i="5"/>
  <c r="S78" i="5"/>
  <c r="Y78" i="5"/>
  <c r="S49" i="5"/>
  <c r="Y49" i="5"/>
  <c r="S70" i="5"/>
  <c r="Y70" i="5"/>
  <c r="S85" i="5"/>
  <c r="Y85" i="5"/>
  <c r="S51" i="5"/>
  <c r="Y51" i="5"/>
  <c r="S71" i="5"/>
  <c r="Y71" i="5"/>
  <c r="S81" i="5"/>
  <c r="Y81" i="5"/>
  <c r="S65" i="5"/>
  <c r="Y65" i="5"/>
  <c r="S77" i="5"/>
  <c r="Y77" i="5"/>
  <c r="S66" i="5"/>
  <c r="Y66" i="5"/>
  <c r="S68" i="5"/>
  <c r="Y68" i="5"/>
  <c r="S46" i="5"/>
  <c r="Y46" i="5"/>
  <c r="S48" i="5"/>
  <c r="Y48" i="5"/>
  <c r="S67" i="5"/>
  <c r="Y67" i="5"/>
  <c r="S83" i="5"/>
  <c r="Y83" i="5"/>
  <c r="S53" i="5"/>
  <c r="Y53" i="5"/>
  <c r="S69" i="5"/>
  <c r="Y69" i="5"/>
  <c r="S74" i="5"/>
  <c r="Y74" i="5"/>
  <c r="S64" i="5"/>
  <c r="Y64" i="5"/>
  <c r="S80" i="5"/>
  <c r="Y80" i="5"/>
  <c r="S62" i="5"/>
  <c r="Y62" i="5"/>
  <c r="S79" i="5"/>
  <c r="Y79" i="5"/>
  <c r="S55" i="5"/>
  <c r="Y55" i="5"/>
  <c r="S57" i="5"/>
  <c r="Y57" i="5"/>
  <c r="S45" i="5"/>
  <c r="Y45" i="5"/>
  <c r="S76" i="5"/>
  <c r="Y76" i="5"/>
  <c r="S52" i="5"/>
  <c r="Y52" i="5"/>
  <c r="S50" i="5"/>
  <c r="Y50" i="5"/>
  <c r="S54" i="5"/>
  <c r="Y54" i="5"/>
  <c r="S73" i="5"/>
  <c r="Y73" i="5"/>
  <c r="S59" i="5"/>
  <c r="Y59" i="5"/>
  <c r="S61" i="5"/>
  <c r="Y61" i="5"/>
  <c r="S44" i="5"/>
  <c r="Y44" i="5"/>
  <c r="S58" i="5"/>
  <c r="Y58" i="5"/>
  <c r="S82" i="5"/>
  <c r="Y82" i="5"/>
  <c r="S75" i="5"/>
  <c r="Y75" i="5"/>
  <c r="S60" i="5"/>
  <c r="Y60" i="5"/>
  <c r="S156" i="5"/>
  <c r="Y156" i="5"/>
  <c r="S141" i="5"/>
  <c r="Y141" i="5"/>
  <c r="S147" i="5"/>
  <c r="Y147" i="5"/>
  <c r="S160" i="5"/>
  <c r="Y160" i="5"/>
  <c r="S144" i="5"/>
  <c r="Y144" i="5"/>
  <c r="S154" i="5"/>
  <c r="Y154" i="5"/>
  <c r="S162" i="5"/>
  <c r="Y162" i="5"/>
  <c r="S149" i="5"/>
  <c r="Y149" i="5"/>
  <c r="S161" i="5"/>
  <c r="Y161" i="5"/>
  <c r="S110" i="5"/>
  <c r="Y110" i="5"/>
  <c r="S166" i="5"/>
  <c r="Y166" i="5"/>
  <c r="S164" i="5"/>
  <c r="Y164" i="5"/>
  <c r="M34" i="5"/>
  <c r="M27" i="5"/>
  <c r="M25" i="5"/>
  <c r="M40" i="5"/>
  <c r="M39" i="5"/>
  <c r="M22" i="5"/>
  <c r="M21" i="5"/>
  <c r="M32" i="5"/>
  <c r="M2" i="5"/>
  <c r="M17" i="5"/>
  <c r="M195" i="5"/>
  <c r="M186" i="5"/>
  <c r="M194" i="5"/>
  <c r="M182" i="5"/>
  <c r="M203" i="5"/>
  <c r="M42" i="5"/>
  <c r="M31" i="5"/>
  <c r="M3" i="5"/>
  <c r="M38" i="5"/>
  <c r="M19" i="5"/>
  <c r="M20" i="5"/>
  <c r="M7" i="5"/>
  <c r="M13" i="5"/>
  <c r="M4" i="5"/>
  <c r="M43" i="5"/>
  <c r="M28" i="5"/>
  <c r="M15" i="5"/>
  <c r="M35" i="5"/>
  <c r="M10" i="5"/>
  <c r="M11" i="5"/>
  <c r="M37" i="5"/>
  <c r="M9" i="5"/>
  <c r="M36" i="5"/>
  <c r="M14" i="5"/>
  <c r="M5" i="5"/>
  <c r="M29" i="5"/>
  <c r="M8" i="5"/>
  <c r="M26" i="5"/>
  <c r="M16" i="5"/>
  <c r="M30" i="5"/>
  <c r="M41" i="5"/>
  <c r="M18" i="5"/>
  <c r="M12" i="5"/>
  <c r="M24" i="5"/>
  <c r="M33" i="5"/>
  <c r="M6" i="5"/>
  <c r="M23" i="5"/>
  <c r="M88" i="5"/>
  <c r="M113" i="5"/>
  <c r="M126" i="5"/>
  <c r="M106" i="5"/>
  <c r="M97" i="5"/>
  <c r="M107" i="5"/>
  <c r="M91" i="5"/>
  <c r="M121" i="5"/>
  <c r="M123" i="5"/>
  <c r="M96" i="5"/>
  <c r="M120" i="5"/>
  <c r="M99" i="5"/>
  <c r="M101" i="5"/>
  <c r="M100" i="5"/>
  <c r="M127" i="5"/>
  <c r="M114" i="5"/>
  <c r="M125" i="5"/>
  <c r="M98" i="5"/>
  <c r="M93" i="5"/>
  <c r="M118" i="5"/>
  <c r="M110" i="5"/>
  <c r="M208" i="5"/>
  <c r="M124" i="5"/>
  <c r="M122" i="5"/>
  <c r="M90" i="5"/>
  <c r="M89" i="5"/>
  <c r="M108" i="5"/>
  <c r="M119" i="5"/>
  <c r="M87" i="5"/>
  <c r="M105" i="5"/>
  <c r="M92" i="5"/>
  <c r="M95" i="5"/>
  <c r="M104" i="5"/>
  <c r="M112" i="5"/>
  <c r="M205" i="5"/>
  <c r="M209" i="5"/>
  <c r="M102" i="5"/>
  <c r="M111" i="5"/>
  <c r="M116" i="5"/>
  <c r="M86" i="5"/>
  <c r="M115" i="5"/>
  <c r="M109" i="5"/>
  <c r="M117" i="5"/>
  <c r="M94" i="5"/>
  <c r="M155" i="5"/>
  <c r="M143" i="5"/>
  <c r="M150" i="5"/>
  <c r="M163" i="5"/>
  <c r="M137" i="5"/>
  <c r="M135" i="5"/>
  <c r="M140" i="5"/>
  <c r="M136" i="5"/>
  <c r="M128" i="5"/>
  <c r="M159" i="5"/>
  <c r="M130" i="5"/>
  <c r="M132" i="5"/>
  <c r="M138" i="5"/>
  <c r="M133" i="5"/>
  <c r="M129" i="5"/>
  <c r="M151" i="5"/>
  <c r="M134" i="5"/>
  <c r="M157" i="5"/>
  <c r="M131" i="5"/>
  <c r="M148" i="5"/>
  <c r="M153" i="5"/>
  <c r="M142" i="5"/>
  <c r="M146" i="5"/>
  <c r="M158" i="5"/>
  <c r="M152" i="5"/>
  <c r="M145" i="5"/>
  <c r="M139" i="5"/>
  <c r="M190" i="5"/>
  <c r="M171" i="5"/>
  <c r="M189" i="5"/>
  <c r="M177" i="5"/>
  <c r="M174" i="5"/>
  <c r="M201" i="5"/>
  <c r="M192" i="5"/>
  <c r="M170" i="5"/>
  <c r="M193" i="5"/>
  <c r="M168" i="5"/>
  <c r="M196" i="5"/>
  <c r="M167" i="5"/>
  <c r="M207" i="5"/>
  <c r="M172" i="5"/>
  <c r="M191" i="5"/>
  <c r="M184" i="5"/>
  <c r="M185" i="5"/>
  <c r="M197" i="5"/>
  <c r="M166" i="5"/>
  <c r="M188" i="5"/>
  <c r="M202" i="5"/>
  <c r="M176" i="5"/>
  <c r="M199" i="5"/>
  <c r="M175" i="5"/>
  <c r="M200" i="5"/>
  <c r="M179" i="5"/>
  <c r="M183" i="5"/>
  <c r="M165" i="5"/>
  <c r="M187" i="5"/>
  <c r="M169" i="5"/>
  <c r="M198" i="5"/>
  <c r="M181" i="5"/>
  <c r="M206" i="5"/>
  <c r="M180" i="5"/>
  <c r="M173" i="5"/>
  <c r="M84" i="5"/>
  <c r="M47" i="5"/>
  <c r="M204" i="5"/>
  <c r="M56" i="5"/>
  <c r="M72" i="5"/>
  <c r="M63" i="5"/>
  <c r="M78" i="5"/>
  <c r="M49" i="5"/>
  <c r="M70" i="5"/>
  <c r="M85" i="5"/>
  <c r="M51" i="5"/>
  <c r="M71" i="5"/>
  <c r="M81" i="5"/>
  <c r="M65" i="5"/>
  <c r="M77" i="5"/>
  <c r="M66" i="5"/>
  <c r="M68" i="5"/>
  <c r="M46" i="5"/>
  <c r="M48" i="5"/>
  <c r="M67" i="5"/>
  <c r="M83" i="5"/>
  <c r="M53" i="5"/>
  <c r="M69" i="5"/>
  <c r="M74" i="5"/>
  <c r="M64" i="5"/>
  <c r="M80" i="5"/>
  <c r="M62" i="5"/>
  <c r="M79" i="5"/>
  <c r="M55" i="5"/>
  <c r="M57" i="5"/>
  <c r="M45" i="5"/>
  <c r="M76" i="5"/>
  <c r="M52" i="5"/>
  <c r="M50" i="5"/>
  <c r="M54" i="5"/>
  <c r="M73" i="5"/>
  <c r="M59" i="5"/>
  <c r="M61" i="5"/>
  <c r="M44" i="5"/>
  <c r="M58" i="5"/>
  <c r="M82" i="5"/>
  <c r="M75" i="5"/>
  <c r="M60" i="5"/>
  <c r="M156" i="5"/>
  <c r="M141" i="5"/>
  <c r="M147" i="5"/>
  <c r="M160" i="5"/>
  <c r="M144" i="5"/>
  <c r="M154" i="5"/>
  <c r="M162" i="5"/>
  <c r="M149" i="5"/>
  <c r="M161" i="5"/>
  <c r="M164" i="5"/>
  <c r="M103" i="5"/>
  <c r="M178" i="5"/>
  <c r="Z8" i="5" l="1"/>
  <c r="AA8" i="5" s="1" a="1"/>
  <c r="Z20" i="5"/>
  <c r="AA20" i="5" s="1" a="1"/>
  <c r="Z3" i="5"/>
  <c r="AA3" i="5" s="1" a="1"/>
  <c r="Z5" i="5"/>
  <c r="AA5" i="5" s="1" a="1"/>
  <c r="Z6" i="5"/>
  <c r="AA6" i="5" s="1" a="1"/>
  <c r="Z7" i="5"/>
  <c r="AA7" i="5" s="1" a="1"/>
  <c r="Z9" i="5"/>
  <c r="AA9" i="5" s="1" a="1"/>
  <c r="Z10" i="5"/>
  <c r="AA10" i="5" s="1" a="1"/>
  <c r="Z11" i="5"/>
  <c r="AA11" i="5" s="1" a="1"/>
  <c r="Z12" i="5"/>
  <c r="AA12" i="5" s="1" a="1"/>
  <c r="Z13" i="5"/>
  <c r="AA13" i="5" s="1" a="1"/>
  <c r="Z14" i="5"/>
  <c r="AA14" i="5" s="1" a="1"/>
  <c r="Z15" i="5"/>
  <c r="AA15" i="5" s="1" a="1"/>
  <c r="Z16" i="5"/>
  <c r="AA16" i="5" s="1" a="1"/>
  <c r="Z2" i="5"/>
  <c r="AA2" i="5" s="1" a="1"/>
  <c r="Z17" i="5"/>
  <c r="AA17" i="5" s="1" a="1"/>
  <c r="Z18" i="5"/>
  <c r="AA18" i="5" s="1" a="1"/>
  <c r="Z4" i="5"/>
  <c r="AA4" i="5" s="1" a="1"/>
  <c r="Z19" i="5"/>
  <c r="AA19" i="5" s="1" a="1"/>
  <c r="Z73" i="5"/>
  <c r="AA73" i="5" s="1" a="1"/>
  <c r="Z142" i="5"/>
  <c r="AA142" i="5" s="1" a="1"/>
  <c r="Z143" i="5"/>
  <c r="AA143" i="5" s="1" a="1"/>
  <c r="Z144" i="5"/>
  <c r="AA144" i="5" s="1" a="1"/>
  <c r="Z145" i="5"/>
  <c r="AA145" i="5" s="1" a="1"/>
  <c r="Z146" i="5"/>
  <c r="AA146" i="5" s="1" a="1"/>
  <c r="Z147" i="5"/>
  <c r="AA147" i="5" s="1" a="1"/>
  <c r="Z148" i="5"/>
  <c r="AA148" i="5" s="1" a="1"/>
  <c r="Z149" i="5"/>
  <c r="AA149" i="5" s="1" a="1"/>
  <c r="Z150" i="5"/>
  <c r="AA150" i="5" s="1" a="1"/>
  <c r="Z151" i="5"/>
  <c r="AA151" i="5" s="1" a="1"/>
  <c r="Z152" i="5"/>
  <c r="AA152" i="5" s="1" a="1"/>
  <c r="Z153" i="5"/>
  <c r="AA153" i="5" s="1" a="1"/>
  <c r="Z154" i="5"/>
  <c r="AA154" i="5" s="1" a="1"/>
  <c r="Z155" i="5"/>
  <c r="AA155" i="5" s="1" a="1"/>
  <c r="Z156" i="5"/>
  <c r="AA156" i="5" s="1" a="1"/>
  <c r="Z157" i="5"/>
  <c r="AA157" i="5" s="1" a="1"/>
  <c r="Z158" i="5"/>
  <c r="AA158" i="5" s="1" a="1"/>
  <c r="Z159" i="5"/>
  <c r="AA159" i="5" s="1" a="1"/>
  <c r="Z160" i="5"/>
  <c r="AA160" i="5" s="1" a="1"/>
  <c r="Z161" i="5"/>
  <c r="AA161" i="5" s="1" a="1"/>
  <c r="Z162" i="5"/>
  <c r="AA162" i="5" s="1" a="1"/>
  <c r="Z163" i="5"/>
  <c r="AA163" i="5" s="1" a="1"/>
  <c r="Z164" i="5"/>
  <c r="AA164" i="5" s="1" a="1"/>
  <c r="Z165" i="5"/>
  <c r="AA165" i="5" s="1" a="1"/>
  <c r="Z166" i="5"/>
  <c r="AA166" i="5" s="1" a="1"/>
  <c r="Z167" i="5"/>
  <c r="AA167" i="5" s="1" a="1"/>
  <c r="Z168" i="5"/>
  <c r="AA168" i="5" s="1" a="1"/>
  <c r="Z169" i="5"/>
  <c r="AA169" i="5" s="1" a="1"/>
  <c r="Z170" i="5"/>
  <c r="AA170" i="5" s="1" a="1"/>
  <c r="Z171" i="5"/>
  <c r="AA171" i="5" s="1" a="1"/>
  <c r="Z172" i="5"/>
  <c r="AA172" i="5" s="1" a="1"/>
  <c r="Z173" i="5"/>
  <c r="AA173" i="5" s="1" a="1"/>
  <c r="Z174" i="5"/>
  <c r="AA174" i="5" s="1" a="1"/>
  <c r="Z175" i="5"/>
  <c r="AA175" i="5" s="1" a="1"/>
  <c r="Z176" i="5"/>
  <c r="AA176" i="5" s="1" a="1"/>
  <c r="Z177" i="5"/>
  <c r="AA177" i="5" s="1" a="1"/>
  <c r="Z178" i="5"/>
  <c r="AA178" i="5" s="1" a="1"/>
  <c r="Z179" i="5"/>
  <c r="AA179" i="5" s="1" a="1"/>
  <c r="Z180" i="5"/>
  <c r="AA180" i="5" s="1" a="1"/>
  <c r="Z181" i="5"/>
  <c r="AA181" i="5" s="1" a="1"/>
  <c r="Z182" i="5"/>
  <c r="AA182" i="5" s="1" a="1"/>
  <c r="Z183" i="5"/>
  <c r="AA183" i="5" s="1" a="1"/>
  <c r="Z184" i="5"/>
  <c r="AA184" i="5" s="1" a="1"/>
  <c r="Z185" i="5"/>
  <c r="AA185" i="5" s="1" a="1"/>
  <c r="Z186" i="5"/>
  <c r="AA186" i="5" s="1" a="1"/>
  <c r="Z187" i="5"/>
  <c r="AA187" i="5" s="1" a="1"/>
  <c r="Z188" i="5"/>
  <c r="AA188" i="5" s="1" a="1"/>
  <c r="Z189" i="5"/>
  <c r="AA189" i="5" s="1" a="1"/>
  <c r="Z190" i="5"/>
  <c r="AA190" i="5" s="1" a="1"/>
  <c r="Z191" i="5"/>
  <c r="AA191" i="5" s="1" a="1"/>
  <c r="Z192" i="5"/>
  <c r="AA192" i="5" s="1" a="1"/>
  <c r="Z193" i="5"/>
  <c r="AA193" i="5" s="1" a="1"/>
  <c r="Z194" i="5"/>
  <c r="AA194" i="5" s="1" a="1"/>
  <c r="Z195" i="5"/>
  <c r="AA195" i="5" s="1" a="1"/>
  <c r="Z196" i="5"/>
  <c r="AA196" i="5" s="1" a="1"/>
  <c r="Z197" i="5"/>
  <c r="AA197" i="5" s="1" a="1"/>
  <c r="Z198" i="5"/>
  <c r="AA198" i="5" s="1" a="1"/>
  <c r="Z199" i="5"/>
  <c r="AA199" i="5" s="1" a="1"/>
  <c r="Z200" i="5"/>
  <c r="AA200" i="5" s="1" a="1"/>
  <c r="Z201" i="5"/>
  <c r="AA201" i="5" s="1" a="1"/>
  <c r="Z202" i="5"/>
  <c r="AA202" i="5" s="1" a="1"/>
  <c r="Z203" i="5"/>
  <c r="AA203" i="5" s="1" a="1"/>
  <c r="Z204" i="5"/>
  <c r="AA204" i="5" s="1" a="1"/>
  <c r="Z205" i="5"/>
  <c r="AA205" i="5" s="1" a="1"/>
  <c r="Z206" i="5"/>
  <c r="AA206" i="5" s="1" a="1"/>
  <c r="Z207" i="5"/>
  <c r="AA207" i="5" s="1" a="1"/>
  <c r="Z208" i="5"/>
  <c r="AA208" i="5" s="1" a="1"/>
  <c r="Z209" i="5"/>
  <c r="AA209" i="5" s="1" a="1"/>
  <c r="Z66" i="5"/>
  <c r="AA66" i="5" s="1" a="1"/>
  <c r="Z68" i="5"/>
  <c r="AA68" i="5" s="1" a="1"/>
  <c r="Z69" i="5"/>
  <c r="AA69" i="5" s="1" a="1"/>
  <c r="Z71" i="5"/>
  <c r="AA71" i="5" s="1" a="1"/>
  <c r="Z72" i="5"/>
  <c r="AA72" i="5" s="1" a="1"/>
  <c r="Z75" i="5"/>
  <c r="AA75" i="5" s="1" a="1"/>
  <c r="Z76" i="5"/>
  <c r="AA76" i="5" s="1" a="1"/>
  <c r="Z78" i="5"/>
  <c r="AA78" i="5" s="1" a="1"/>
  <c r="Z79" i="5"/>
  <c r="AA79" i="5" s="1" a="1"/>
  <c r="Z81" i="5"/>
  <c r="AA81" i="5" s="1" a="1"/>
  <c r="Z82" i="5"/>
  <c r="AA82" i="5" s="1" a="1"/>
  <c r="Z84" i="5"/>
  <c r="AA84" i="5" s="1" a="1"/>
  <c r="Z85" i="5"/>
  <c r="AA85" i="5" s="1" a="1"/>
  <c r="Z87" i="5"/>
  <c r="AA87" i="5" s="1" a="1"/>
  <c r="Z88" i="5"/>
  <c r="AA88" i="5" s="1" a="1"/>
  <c r="Z90" i="5"/>
  <c r="AA90" i="5" s="1" a="1"/>
  <c r="Z91" i="5"/>
  <c r="AA91" i="5" s="1" a="1"/>
  <c r="Z93" i="5"/>
  <c r="AA93" i="5" s="1" a="1"/>
  <c r="Z97" i="5"/>
  <c r="AA97" i="5" s="1" a="1"/>
  <c r="Z98" i="5"/>
  <c r="AA98" i="5" s="1" a="1"/>
  <c r="Z100" i="5"/>
  <c r="AA100" i="5" s="1" a="1"/>
  <c r="Z101" i="5"/>
  <c r="AA101" i="5" s="1" a="1"/>
  <c r="Z103" i="5"/>
  <c r="AA103" i="5" s="1" a="1"/>
  <c r="Z104" i="5"/>
  <c r="AA104" i="5" s="1" a="1"/>
  <c r="Z106" i="5"/>
  <c r="AA106" i="5" s="1" a="1"/>
  <c r="Z107" i="5"/>
  <c r="AA107" i="5" s="1" a="1"/>
  <c r="Z109" i="5"/>
  <c r="AA109" i="5" s="1" a="1"/>
  <c r="Z110" i="5"/>
  <c r="AA110" i="5" s="1" a="1"/>
  <c r="Z112" i="5"/>
  <c r="AA112" i="5" s="1" a="1"/>
  <c r="Z114" i="5"/>
  <c r="AA114" i="5" s="1" a="1"/>
  <c r="Z115" i="5"/>
  <c r="AA115" i="5" s="1" a="1"/>
  <c r="Z116" i="5"/>
  <c r="AA116" i="5" s="1" a="1"/>
  <c r="Z118" i="5"/>
  <c r="AA118" i="5" s="1" a="1"/>
  <c r="Z119" i="5"/>
  <c r="AA119" i="5" s="1" a="1"/>
  <c r="Z121" i="5"/>
  <c r="AA121" i="5" s="1" a="1"/>
  <c r="Z123" i="5"/>
  <c r="AA123" i="5" s="1" a="1"/>
  <c r="Z124" i="5"/>
  <c r="AA124" i="5" s="1" a="1"/>
  <c r="Z126" i="5"/>
  <c r="AA126" i="5" s="1" a="1"/>
  <c r="Z127" i="5"/>
  <c r="AA127" i="5" s="1" a="1"/>
  <c r="Z128" i="5"/>
  <c r="AA128" i="5" s="1" a="1"/>
  <c r="Z130" i="5"/>
  <c r="AA130" i="5" s="1" a="1"/>
  <c r="Z131" i="5"/>
  <c r="AA131" i="5" s="1" a="1"/>
  <c r="Z133" i="5"/>
  <c r="AA133" i="5" s="1" a="1"/>
  <c r="Z134" i="5"/>
  <c r="AA134" i="5" s="1" a="1"/>
  <c r="Z136" i="5"/>
  <c r="AA136" i="5" s="1" a="1"/>
  <c r="Z137" i="5"/>
  <c r="AA137" i="5" s="1" a="1"/>
  <c r="Z139" i="5"/>
  <c r="AA139" i="5" s="1" a="1"/>
  <c r="Z140" i="5"/>
  <c r="AA140" i="5" s="1" a="1"/>
  <c r="Z21" i="5"/>
  <c r="AA21" i="5" s="1" a="1"/>
  <c r="Z22" i="5"/>
  <c r="AA22" i="5" s="1" a="1"/>
  <c r="Z23" i="5"/>
  <c r="AA23" i="5" s="1" a="1"/>
  <c r="Z24" i="5"/>
  <c r="AA24" i="5" s="1" a="1"/>
  <c r="Z25" i="5"/>
  <c r="AA25" i="5" s="1" a="1"/>
  <c r="Z26" i="5"/>
  <c r="AA26" i="5" s="1" a="1"/>
  <c r="Z27" i="5"/>
  <c r="AA27" i="5" s="1" a="1"/>
  <c r="Z28" i="5"/>
  <c r="AA28" i="5" s="1" a="1"/>
  <c r="Z29" i="5"/>
  <c r="AA29" i="5" s="1" a="1"/>
  <c r="Z30" i="5"/>
  <c r="AA30" i="5" s="1" a="1"/>
  <c r="Z31" i="5"/>
  <c r="AA31" i="5" s="1" a="1"/>
  <c r="Z32" i="5"/>
  <c r="AA32" i="5" s="1" a="1"/>
  <c r="Z33" i="5"/>
  <c r="AA33" i="5" s="1" a="1"/>
  <c r="Z34" i="5"/>
  <c r="AA34" i="5" s="1" a="1"/>
  <c r="Z35" i="5"/>
  <c r="AA35" i="5" s="1" a="1"/>
  <c r="Z36" i="5"/>
  <c r="AA36" i="5" s="1" a="1"/>
  <c r="Z37" i="5"/>
  <c r="AA37" i="5" s="1" a="1"/>
  <c r="Z38" i="5"/>
  <c r="AA38" i="5" s="1" a="1"/>
  <c r="Z39" i="5"/>
  <c r="AA39" i="5" s="1" a="1"/>
  <c r="Z40" i="5"/>
  <c r="AA40" i="5" s="1" a="1"/>
  <c r="Z41" i="5"/>
  <c r="AA41" i="5" s="1" a="1"/>
  <c r="Z42" i="5"/>
  <c r="AA42" i="5" s="1" a="1"/>
  <c r="Z43" i="5"/>
  <c r="AA43" i="5" s="1" a="1"/>
  <c r="Z44" i="5"/>
  <c r="AA44" i="5" s="1" a="1"/>
  <c r="Z45" i="5"/>
  <c r="AA45" i="5" s="1" a="1"/>
  <c r="Z46" i="5"/>
  <c r="AA46" i="5" s="1" a="1"/>
  <c r="Z47" i="5"/>
  <c r="AA47" i="5" s="1" a="1"/>
  <c r="Z48" i="5"/>
  <c r="AA48" i="5" s="1" a="1"/>
  <c r="Z49" i="5"/>
  <c r="AA49" i="5" s="1" a="1"/>
  <c r="Z50" i="5"/>
  <c r="AA50" i="5" s="1" a="1"/>
  <c r="Z51" i="5"/>
  <c r="AA51" i="5" s="1" a="1"/>
  <c r="Z52" i="5"/>
  <c r="AA52" i="5" s="1" a="1"/>
  <c r="Z53" i="5"/>
  <c r="AA53" i="5" s="1" a="1"/>
  <c r="Z54" i="5"/>
  <c r="AA54" i="5" s="1" a="1"/>
  <c r="Z55" i="5"/>
  <c r="AA55" i="5" s="1" a="1"/>
  <c r="Z56" i="5"/>
  <c r="AA56" i="5" s="1" a="1"/>
  <c r="Z57" i="5"/>
  <c r="AA57" i="5" s="1" a="1"/>
  <c r="Z58" i="5"/>
  <c r="AA58" i="5" s="1" a="1"/>
  <c r="Z59" i="5"/>
  <c r="AA59" i="5" s="1" a="1"/>
  <c r="Z60" i="5"/>
  <c r="AA60" i="5" s="1" a="1"/>
  <c r="Z61" i="5"/>
  <c r="AA61" i="5" s="1" a="1"/>
  <c r="Z62" i="5"/>
  <c r="AA62" i="5" s="1" a="1"/>
  <c r="Z63" i="5"/>
  <c r="AA63" i="5" s="1" a="1"/>
  <c r="Z64" i="5"/>
  <c r="AA64" i="5" s="1" a="1"/>
  <c r="Z65" i="5"/>
  <c r="AA65" i="5" s="1" a="1"/>
  <c r="Z67" i="5"/>
  <c r="AA67" i="5" s="1" a="1"/>
  <c r="Z70" i="5"/>
  <c r="AA70" i="5" s="1" a="1"/>
  <c r="Z74" i="5"/>
  <c r="AA74" i="5" s="1" a="1"/>
  <c r="Z77" i="5"/>
  <c r="AA77" i="5" s="1" a="1"/>
  <c r="Z80" i="5"/>
  <c r="AA80" i="5" s="1" a="1"/>
  <c r="Z83" i="5"/>
  <c r="AA83" i="5" s="1" a="1"/>
  <c r="Z86" i="5"/>
  <c r="AA86" i="5" s="1" a="1"/>
  <c r="Z89" i="5"/>
  <c r="AA89" i="5" s="1" a="1"/>
  <c r="Z92" i="5"/>
  <c r="AA92" i="5" s="1" a="1"/>
  <c r="Z94" i="5"/>
  <c r="AA94" i="5" s="1" a="1"/>
  <c r="Z95" i="5"/>
  <c r="AA95" i="5" s="1" a="1"/>
  <c r="Z96" i="5"/>
  <c r="AA96" i="5" s="1" a="1"/>
  <c r="Z99" i="5"/>
  <c r="AA99" i="5" s="1" a="1"/>
  <c r="Z102" i="5"/>
  <c r="AA102" i="5" s="1" a="1"/>
  <c r="Z105" i="5"/>
  <c r="AA105" i="5" s="1" a="1"/>
  <c r="Z108" i="5"/>
  <c r="AA108" i="5" s="1" a="1"/>
  <c r="Z111" i="5"/>
  <c r="AA111" i="5" s="1" a="1"/>
  <c r="Z113" i="5"/>
  <c r="AA113" i="5" s="1" a="1"/>
  <c r="Z117" i="5"/>
  <c r="AA117" i="5" s="1" a="1"/>
  <c r="Z120" i="5"/>
  <c r="AA120" i="5" s="1" a="1"/>
  <c r="Z122" i="5"/>
  <c r="AA122" i="5" s="1" a="1"/>
  <c r="Z125" i="5"/>
  <c r="AA125" i="5" s="1" a="1"/>
  <c r="Z129" i="5"/>
  <c r="AA129" i="5" s="1" a="1"/>
  <c r="Z132" i="5"/>
  <c r="AA132" i="5" s="1" a="1"/>
  <c r="Z135" i="5"/>
  <c r="AA135" i="5" s="1" a="1"/>
  <c r="Z138" i="5"/>
  <c r="AA138" i="5" s="1" a="1"/>
  <c r="Z141" i="5"/>
  <c r="AA141" i="5" s="1" a="1"/>
  <c r="X17" i="5" a="1"/>
  <c r="AB17" i="5" s="1"/>
  <c r="X18" i="5" a="1"/>
  <c r="AB18" i="5" s="1"/>
  <c r="X19" i="5" a="1"/>
  <c r="AB19" i="5" s="1"/>
  <c r="X20" i="5" a="1"/>
  <c r="AB20" i="5" s="1"/>
  <c r="X21" i="5" a="1"/>
  <c r="AB21" i="5" s="1"/>
  <c r="X22" i="5" a="1"/>
  <c r="AB22" i="5" s="1"/>
  <c r="X23" i="5" a="1"/>
  <c r="AB23" i="5" s="1"/>
  <c r="X24" i="5" a="1"/>
  <c r="AB24" i="5" s="1"/>
  <c r="X25" i="5" a="1"/>
  <c r="AB25" i="5" s="1"/>
  <c r="X26" i="5" a="1"/>
  <c r="AB26" i="5" s="1"/>
  <c r="X27" i="5" a="1"/>
  <c r="AB27" i="5" s="1"/>
  <c r="X28" i="5" a="1"/>
  <c r="AB28" i="5" s="1"/>
  <c r="X29" i="5" a="1"/>
  <c r="AB29" i="5" s="1"/>
  <c r="X30" i="5" a="1"/>
  <c r="AB30" i="5" s="1"/>
  <c r="X31" i="5" a="1"/>
  <c r="AB31" i="5" s="1"/>
  <c r="X32" i="5" a="1"/>
  <c r="AB32" i="5" s="1"/>
  <c r="X33" i="5" a="1"/>
  <c r="AB33" i="5" s="1"/>
  <c r="X34" i="5" a="1"/>
  <c r="AB34" i="5" s="1"/>
  <c r="X35" i="5" a="1"/>
  <c r="AB35" i="5" s="1"/>
  <c r="X36" i="5" a="1"/>
  <c r="AB36" i="5" s="1"/>
  <c r="X37" i="5" a="1"/>
  <c r="AB37" i="5" s="1"/>
  <c r="X38" i="5" a="1"/>
  <c r="AB38" i="5" s="1"/>
  <c r="X39" i="5" a="1"/>
  <c r="AB39" i="5" s="1"/>
  <c r="X40" i="5" a="1"/>
  <c r="AB40" i="5" s="1"/>
  <c r="X41" i="5" a="1"/>
  <c r="AB41" i="5" s="1"/>
  <c r="X42" i="5" a="1"/>
  <c r="AB42" i="5" s="1"/>
  <c r="X43" i="5" a="1"/>
  <c r="AB43" i="5" s="1"/>
  <c r="X44" i="5" a="1"/>
  <c r="AB44" i="5" s="1"/>
  <c r="X45" i="5" a="1"/>
  <c r="AB45" i="5" s="1"/>
  <c r="X46" i="5" a="1"/>
  <c r="AB46" i="5" s="1"/>
  <c r="X47" i="5" a="1"/>
  <c r="AB47" i="5" s="1"/>
  <c r="X48" i="5" a="1"/>
  <c r="AB48" i="5" s="1"/>
  <c r="X49" i="5" a="1"/>
  <c r="AB49" i="5" s="1"/>
  <c r="X50" i="5" a="1"/>
  <c r="AB50" i="5" s="1"/>
  <c r="X51" i="5" a="1"/>
  <c r="AB51" i="5" s="1"/>
  <c r="X52" i="5" a="1"/>
  <c r="AB52" i="5" s="1"/>
  <c r="X53" i="5" a="1"/>
  <c r="AB53" i="5" s="1"/>
  <c r="X54" i="5" a="1"/>
  <c r="AB54" i="5" s="1"/>
  <c r="X55" i="5" a="1"/>
  <c r="AB55" i="5" s="1"/>
  <c r="X56" i="5" a="1"/>
  <c r="AB56" i="5" s="1"/>
  <c r="X57" i="5" a="1"/>
  <c r="AB57" i="5" s="1"/>
  <c r="X58" i="5" a="1"/>
  <c r="AB58" i="5" s="1"/>
  <c r="X59" i="5" a="1"/>
  <c r="AB59" i="5" s="1"/>
  <c r="X60" i="5" a="1"/>
  <c r="AB60" i="5" s="1"/>
  <c r="X61" i="5" a="1"/>
  <c r="AB61" i="5" s="1"/>
  <c r="X62" i="5" a="1"/>
  <c r="AB62" i="5" s="1"/>
  <c r="X63" i="5" a="1"/>
  <c r="AB63" i="5" s="1"/>
  <c r="X64" i="5" a="1"/>
  <c r="AB64" i="5" s="1"/>
  <c r="X65" i="5" a="1"/>
  <c r="AB65" i="5" s="1"/>
  <c r="X66" i="5" a="1"/>
  <c r="AB66" i="5" s="1"/>
  <c r="X67" i="5" a="1"/>
  <c r="AB67" i="5" s="1"/>
  <c r="X68" i="5" a="1"/>
  <c r="AB68" i="5" s="1"/>
  <c r="X69" i="5" a="1"/>
  <c r="AB69" i="5" s="1"/>
  <c r="X70" i="5" a="1"/>
  <c r="AB70" i="5" s="1"/>
  <c r="X71" i="5" a="1"/>
  <c r="AB71" i="5" s="1"/>
  <c r="X72" i="5" a="1"/>
  <c r="AB72" i="5" s="1"/>
  <c r="X73" i="5" a="1"/>
  <c r="AB73" i="5" s="1"/>
  <c r="X74" i="5" a="1"/>
  <c r="AB74" i="5" s="1"/>
  <c r="X75" i="5" a="1"/>
  <c r="AB75" i="5" s="1"/>
  <c r="X76" i="5" a="1"/>
  <c r="AB76" i="5" s="1"/>
  <c r="X77" i="5" a="1"/>
  <c r="AB77" i="5" s="1"/>
  <c r="X86" i="5" a="1"/>
  <c r="AB86" i="5" s="1"/>
  <c r="X88" i="5" a="1"/>
  <c r="AB88" i="5" s="1"/>
  <c r="X90" i="5" a="1"/>
  <c r="AB90" i="5" s="1"/>
  <c r="X92" i="5" a="1"/>
  <c r="AB92" i="5" s="1"/>
  <c r="X94" i="5" a="1"/>
  <c r="AB94" i="5" s="1"/>
  <c r="X96" i="5" a="1"/>
  <c r="AB96" i="5" s="1"/>
  <c r="X98" i="5" a="1"/>
  <c r="AB98" i="5" s="1"/>
  <c r="X100" i="5" a="1"/>
  <c r="AB100" i="5" s="1"/>
  <c r="X102" i="5" a="1"/>
  <c r="AB102" i="5" s="1"/>
  <c r="X104" i="5" a="1"/>
  <c r="AB104" i="5" s="1"/>
  <c r="X106" i="5" a="1"/>
  <c r="AB106" i="5" s="1"/>
  <c r="X108" i="5" a="1"/>
  <c r="AB108" i="5" s="1"/>
  <c r="X110" i="5" a="1"/>
  <c r="AB110" i="5" s="1"/>
  <c r="X112" i="5" a="1"/>
  <c r="AB112" i="5" s="1"/>
  <c r="X114" i="5" a="1"/>
  <c r="AB114" i="5" s="1"/>
  <c r="X116" i="5" a="1"/>
  <c r="AB116" i="5" s="1"/>
  <c r="X118" i="5" a="1"/>
  <c r="AB118" i="5" s="1"/>
  <c r="X120" i="5" a="1"/>
  <c r="AB120" i="5" s="1"/>
  <c r="X122" i="5" a="1"/>
  <c r="AB122" i="5" s="1"/>
  <c r="X124" i="5" a="1"/>
  <c r="AB124" i="5" s="1"/>
  <c r="X126" i="5" a="1"/>
  <c r="AB126" i="5" s="1"/>
  <c r="X128" i="5" a="1"/>
  <c r="AB128" i="5" s="1"/>
  <c r="X78" i="5" a="1"/>
  <c r="AB78" i="5" s="1"/>
  <c r="X79" i="5" a="1"/>
  <c r="AB79" i="5" s="1"/>
  <c r="X80" i="5" a="1"/>
  <c r="AB80" i="5" s="1"/>
  <c r="X81" i="5" a="1"/>
  <c r="AB81" i="5" s="1"/>
  <c r="X82" i="5" a="1"/>
  <c r="AB82" i="5" s="1"/>
  <c r="X83" i="5" a="1"/>
  <c r="AB83" i="5" s="1"/>
  <c r="X84" i="5" a="1"/>
  <c r="AB84" i="5" s="1"/>
  <c r="X85" i="5" a="1"/>
  <c r="AB85" i="5" s="1"/>
  <c r="X87" i="5" a="1"/>
  <c r="AB87" i="5" s="1"/>
  <c r="X89" i="5" a="1"/>
  <c r="AB89" i="5" s="1"/>
  <c r="X91" i="5" a="1"/>
  <c r="AB91" i="5" s="1"/>
  <c r="X93" i="5" a="1"/>
  <c r="AB93" i="5" s="1"/>
  <c r="X95" i="5" a="1"/>
  <c r="AB95" i="5" s="1"/>
  <c r="X97" i="5" a="1"/>
  <c r="AB97" i="5" s="1"/>
  <c r="X99" i="5" a="1"/>
  <c r="AB99" i="5" s="1"/>
  <c r="X101" i="5" a="1"/>
  <c r="AB101" i="5" s="1"/>
  <c r="X103" i="5" a="1"/>
  <c r="AB103" i="5" s="1"/>
  <c r="X105" i="5" a="1"/>
  <c r="AB105" i="5" s="1"/>
  <c r="X107" i="5" a="1"/>
  <c r="AB107" i="5" s="1"/>
  <c r="X109" i="5" a="1"/>
  <c r="AB109" i="5" s="1"/>
  <c r="X111" i="5" a="1"/>
  <c r="AB111" i="5" s="1"/>
  <c r="X113" i="5" a="1"/>
  <c r="AB113" i="5" s="1"/>
  <c r="X115" i="5" a="1"/>
  <c r="AB115" i="5" s="1"/>
  <c r="X117" i="5" a="1"/>
  <c r="AB117" i="5" s="1"/>
  <c r="X119" i="5" a="1"/>
  <c r="AB119" i="5" s="1"/>
  <c r="X121" i="5" a="1"/>
  <c r="AB121" i="5" s="1"/>
  <c r="X123" i="5" a="1"/>
  <c r="AB123" i="5" s="1"/>
  <c r="X125" i="5" a="1"/>
  <c r="AB125" i="5" s="1"/>
  <c r="X127" i="5" a="1"/>
  <c r="AB127" i="5" s="1"/>
  <c r="X13" i="5" a="1"/>
  <c r="AB13" i="5" s="1"/>
  <c r="X3" i="5" a="1"/>
  <c r="AB3" i="5" s="1"/>
  <c r="X4" i="5" a="1"/>
  <c r="AB4" i="5" s="1"/>
  <c r="X5" i="5" a="1"/>
  <c r="AB5" i="5" s="1"/>
  <c r="X6" i="5" a="1"/>
  <c r="AB6" i="5" s="1"/>
  <c r="X7" i="5" a="1"/>
  <c r="AB7" i="5" s="1"/>
  <c r="X8" i="5" a="1"/>
  <c r="AB8" i="5" s="1"/>
  <c r="X9" i="5" a="1"/>
  <c r="AB9" i="5" s="1"/>
  <c r="X10" i="5" a="1"/>
  <c r="AB10" i="5" s="1"/>
  <c r="X11" i="5" a="1"/>
  <c r="AB11" i="5" s="1"/>
  <c r="X12" i="5" a="1"/>
  <c r="AB12" i="5" s="1"/>
  <c r="X14" i="5" a="1"/>
  <c r="AB14" i="5" s="1"/>
  <c r="X15" i="5" a="1"/>
  <c r="AB15" i="5" s="1"/>
  <c r="X16" i="5" a="1"/>
  <c r="AB16" i="5" s="1"/>
  <c r="X2" i="5" a="1"/>
  <c r="AB2" i="5" s="1"/>
  <c r="W2" i="5"/>
  <c r="W54" i="5"/>
  <c r="W106" i="5"/>
  <c r="W159" i="5"/>
  <c r="X159" i="5" s="1" a="1"/>
  <c r="AB159" i="5" s="1"/>
  <c r="W160" i="5"/>
  <c r="X160" i="5" s="1" a="1"/>
  <c r="AB160" i="5" s="1"/>
  <c r="W161" i="5"/>
  <c r="X161" i="5" s="1" a="1"/>
  <c r="AB161" i="5" s="1"/>
  <c r="W162" i="5"/>
  <c r="X162" i="5" s="1" a="1"/>
  <c r="AB162" i="5" s="1"/>
  <c r="W163" i="5"/>
  <c r="X163" i="5" s="1" a="1"/>
  <c r="AB163" i="5" s="1"/>
  <c r="W164" i="5"/>
  <c r="X164" i="5" s="1" a="1"/>
  <c r="AB164" i="5" s="1"/>
  <c r="W165" i="5"/>
  <c r="X165" i="5" s="1" a="1"/>
  <c r="AB165" i="5" s="1"/>
  <c r="W166" i="5"/>
  <c r="X166" i="5" s="1" a="1"/>
  <c r="AB166" i="5" s="1"/>
  <c r="W167" i="5"/>
  <c r="X167" i="5" s="1" a="1"/>
  <c r="AB167" i="5" s="1"/>
  <c r="W168" i="5"/>
  <c r="X168" i="5" s="1" a="1"/>
  <c r="AB168" i="5" s="1"/>
  <c r="W169" i="5"/>
  <c r="X169" i="5" s="1" a="1"/>
  <c r="AB169" i="5" s="1"/>
  <c r="W170" i="5"/>
  <c r="X170" i="5" s="1" a="1"/>
  <c r="AB170" i="5" s="1"/>
  <c r="W171" i="5"/>
  <c r="X171" i="5" s="1" a="1"/>
  <c r="AB171" i="5" s="1"/>
  <c r="W172" i="5"/>
  <c r="X172" i="5" s="1" a="1"/>
  <c r="AB172" i="5" s="1"/>
  <c r="W173" i="5"/>
  <c r="X173" i="5" s="1" a="1"/>
  <c r="AB173" i="5" s="1"/>
  <c r="W174" i="5"/>
  <c r="X174" i="5" s="1" a="1"/>
  <c r="AB174" i="5" s="1"/>
  <c r="W175" i="5"/>
  <c r="X175" i="5" s="1" a="1"/>
  <c r="AB175" i="5" s="1"/>
  <c r="W176" i="5"/>
  <c r="X176" i="5" s="1" a="1"/>
  <c r="AB176" i="5" s="1"/>
  <c r="W177" i="5"/>
  <c r="X177" i="5" s="1" a="1"/>
  <c r="AB177" i="5" s="1"/>
  <c r="W178" i="5"/>
  <c r="X178" i="5" s="1" a="1"/>
  <c r="AB178" i="5" s="1"/>
  <c r="W179" i="5"/>
  <c r="X179" i="5" s="1" a="1"/>
  <c r="AB179" i="5" s="1"/>
  <c r="W180" i="5"/>
  <c r="X180" i="5" s="1" a="1"/>
  <c r="AB180" i="5" s="1"/>
  <c r="W181" i="5"/>
  <c r="X181" i="5" s="1" a="1"/>
  <c r="AB181" i="5" s="1"/>
  <c r="W182" i="5"/>
  <c r="X182" i="5" s="1" a="1"/>
  <c r="AB182" i="5" s="1"/>
  <c r="W183" i="5"/>
  <c r="X183" i="5" s="1" a="1"/>
  <c r="AB183" i="5" s="1"/>
  <c r="W184" i="5"/>
  <c r="X184" i="5" s="1" a="1"/>
  <c r="AB184" i="5" s="1"/>
  <c r="W185" i="5"/>
  <c r="X185" i="5" s="1" a="1"/>
  <c r="AB185" i="5" s="1"/>
  <c r="W186" i="5"/>
  <c r="X186" i="5" s="1" a="1"/>
  <c r="AB186" i="5" s="1"/>
  <c r="W187" i="5"/>
  <c r="X187" i="5" s="1" a="1"/>
  <c r="AB187" i="5" s="1"/>
  <c r="W188" i="5"/>
  <c r="X188" i="5" s="1" a="1"/>
  <c r="AB188" i="5" s="1"/>
  <c r="W189" i="5"/>
  <c r="X189" i="5" s="1" a="1"/>
  <c r="AB189" i="5" s="1"/>
  <c r="W190" i="5"/>
  <c r="X190" i="5" s="1" a="1"/>
  <c r="AB190" i="5" s="1"/>
  <c r="W191" i="5"/>
  <c r="X191" i="5" s="1" a="1"/>
  <c r="AB191" i="5" s="1"/>
  <c r="W192" i="5"/>
  <c r="X192" i="5" s="1" a="1"/>
  <c r="AB192" i="5" s="1"/>
  <c r="W193" i="5"/>
  <c r="X193" i="5" s="1" a="1"/>
  <c r="AB193" i="5" s="1"/>
  <c r="W194" i="5"/>
  <c r="X194" i="5" s="1" a="1"/>
  <c r="AB194" i="5" s="1"/>
  <c r="W195" i="5"/>
  <c r="X195" i="5" s="1" a="1"/>
  <c r="AB195" i="5" s="1"/>
  <c r="W196" i="5"/>
  <c r="X196" i="5" s="1" a="1"/>
  <c r="AB196" i="5" s="1"/>
  <c r="W197" i="5"/>
  <c r="X197" i="5" s="1" a="1"/>
  <c r="AB197" i="5" s="1"/>
  <c r="W198" i="5"/>
  <c r="X198" i="5" s="1" a="1"/>
  <c r="AB198" i="5" s="1"/>
  <c r="W199" i="5"/>
  <c r="X199" i="5" s="1" a="1"/>
  <c r="AB199" i="5" s="1"/>
  <c r="W200" i="5"/>
  <c r="X200" i="5" s="1" a="1"/>
  <c r="AB200" i="5" s="1"/>
  <c r="W201" i="5"/>
  <c r="X201" i="5" s="1" a="1"/>
  <c r="AB201" i="5" s="1"/>
  <c r="W202" i="5"/>
  <c r="X202" i="5" s="1" a="1"/>
  <c r="AB202" i="5" s="1"/>
  <c r="W203" i="5"/>
  <c r="X203" i="5" s="1" a="1"/>
  <c r="AB203" i="5" s="1"/>
  <c r="W204" i="5"/>
  <c r="X204" i="5" s="1" a="1"/>
  <c r="AB204" i="5" s="1"/>
  <c r="W205" i="5"/>
  <c r="X205" i="5" s="1" a="1"/>
  <c r="AB205" i="5" s="1"/>
  <c r="W206" i="5"/>
  <c r="X206" i="5" s="1" a="1"/>
  <c r="AB206" i="5" s="1"/>
  <c r="W207" i="5"/>
  <c r="X207" i="5" s="1" a="1"/>
  <c r="AB207" i="5" s="1"/>
  <c r="W208" i="5"/>
  <c r="X208" i="5" s="1" a="1"/>
  <c r="AB208" i="5" s="1"/>
  <c r="W209" i="5"/>
  <c r="X209" i="5" s="1" a="1"/>
  <c r="AB209" i="5" s="1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10" i="5"/>
  <c r="W3" i="5"/>
  <c r="W9" i="5"/>
  <c r="W4" i="5"/>
  <c r="W5" i="5"/>
  <c r="W6" i="5"/>
  <c r="W108" i="5"/>
  <c r="W110" i="5"/>
  <c r="W112" i="5"/>
  <c r="W114" i="5"/>
  <c r="W116" i="5"/>
  <c r="W118" i="5"/>
  <c r="W120" i="5"/>
  <c r="W121" i="5"/>
  <c r="W123" i="5"/>
  <c r="W125" i="5"/>
  <c r="W127" i="5"/>
  <c r="W130" i="5"/>
  <c r="X130" i="5" s="1" a="1"/>
  <c r="AB130" i="5" s="1"/>
  <c r="W132" i="5"/>
  <c r="X132" i="5" s="1" a="1"/>
  <c r="AB132" i="5" s="1"/>
  <c r="W134" i="5"/>
  <c r="X134" i="5" s="1" a="1"/>
  <c r="AB134" i="5" s="1"/>
  <c r="W136" i="5"/>
  <c r="X136" i="5" s="1" a="1"/>
  <c r="AB136" i="5" s="1"/>
  <c r="W138" i="5"/>
  <c r="X138" i="5" s="1" a="1"/>
  <c r="AB138" i="5" s="1"/>
  <c r="W140" i="5"/>
  <c r="X140" i="5" s="1" a="1"/>
  <c r="AB140" i="5" s="1"/>
  <c r="W142" i="5"/>
  <c r="X142" i="5" s="1" a="1"/>
  <c r="AB142" i="5" s="1"/>
  <c r="W144" i="5"/>
  <c r="X144" i="5" s="1" a="1"/>
  <c r="AB144" i="5" s="1"/>
  <c r="W146" i="5"/>
  <c r="X146" i="5" s="1" a="1"/>
  <c r="AB146" i="5" s="1"/>
  <c r="W148" i="5"/>
  <c r="X148" i="5" s="1" a="1"/>
  <c r="AB148" i="5" s="1"/>
  <c r="W150" i="5"/>
  <c r="X150" i="5" s="1" a="1"/>
  <c r="AB150" i="5" s="1"/>
  <c r="W152" i="5"/>
  <c r="X152" i="5" s="1" a="1"/>
  <c r="AB152" i="5" s="1"/>
  <c r="W153" i="5"/>
  <c r="X153" i="5" s="1" a="1"/>
  <c r="AB153" i="5" s="1"/>
  <c r="W154" i="5"/>
  <c r="X154" i="5" s="1" a="1"/>
  <c r="AB154" i="5" s="1"/>
  <c r="W155" i="5"/>
  <c r="X155" i="5" s="1" a="1"/>
  <c r="AB155" i="5" s="1"/>
  <c r="W156" i="5"/>
  <c r="X156" i="5" s="1" a="1"/>
  <c r="AB156" i="5" s="1"/>
  <c r="W157" i="5"/>
  <c r="X157" i="5" s="1" a="1"/>
  <c r="AB157" i="5" s="1"/>
  <c r="W158" i="5"/>
  <c r="X158" i="5" s="1" a="1"/>
  <c r="AB158" i="5" s="1"/>
  <c r="W7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7" i="5"/>
  <c r="W109" i="5"/>
  <c r="W111" i="5"/>
  <c r="W113" i="5"/>
  <c r="W115" i="5"/>
  <c r="W117" i="5"/>
  <c r="W119" i="5"/>
  <c r="W122" i="5"/>
  <c r="W124" i="5"/>
  <c r="W126" i="5"/>
  <c r="W128" i="5"/>
  <c r="W129" i="5"/>
  <c r="X129" i="5" s="1" a="1"/>
  <c r="AB129" i="5" s="1"/>
  <c r="W131" i="5"/>
  <c r="X131" i="5" s="1" a="1"/>
  <c r="AB131" i="5" s="1"/>
  <c r="W133" i="5"/>
  <c r="X133" i="5" s="1" a="1"/>
  <c r="AB133" i="5" s="1"/>
  <c r="W135" i="5"/>
  <c r="X135" i="5" s="1" a="1"/>
  <c r="AB135" i="5" s="1"/>
  <c r="W137" i="5"/>
  <c r="X137" i="5" s="1" a="1"/>
  <c r="AB137" i="5" s="1"/>
  <c r="W139" i="5"/>
  <c r="X139" i="5" s="1" a="1"/>
  <c r="AB139" i="5" s="1"/>
  <c r="W141" i="5"/>
  <c r="X141" i="5" s="1" a="1"/>
  <c r="AB141" i="5" s="1"/>
  <c r="W143" i="5"/>
  <c r="X143" i="5" s="1" a="1"/>
  <c r="AB143" i="5" s="1"/>
  <c r="W145" i="5"/>
  <c r="X145" i="5" s="1" a="1"/>
  <c r="AB145" i="5" s="1"/>
  <c r="W147" i="5"/>
  <c r="X147" i="5" s="1" a="1"/>
  <c r="AB147" i="5" s="1"/>
  <c r="W149" i="5"/>
  <c r="X149" i="5" s="1" a="1"/>
  <c r="AB149" i="5" s="1"/>
  <c r="W151" i="5"/>
  <c r="X151" i="5" s="1" a="1"/>
  <c r="AB151" i="5" s="1"/>
  <c r="W8" i="5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E10" i="8"/>
  <c r="E11" i="8"/>
  <c r="E12" i="8"/>
  <c r="E13" i="8"/>
  <c r="E14" i="8"/>
  <c r="E15" i="8"/>
  <c r="E16" i="8"/>
  <c r="E17" i="8"/>
  <c r="E18" i="8"/>
  <c r="E19" i="8"/>
  <c r="E20" i="8"/>
  <c r="E8" i="8"/>
  <c r="E9" i="8"/>
  <c r="E7" i="8"/>
  <c r="E6" i="8"/>
  <c r="D6" i="8"/>
  <c r="C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<sst xmlns="http://schemas.openxmlformats.org/spreadsheetml/2006/main" count="2075" uniqueCount="538">
  <si>
    <t>Listing_ID</t>
  </si>
  <si>
    <t>Raw_Title</t>
  </si>
  <si>
    <t>Locality_Text</t>
  </si>
  <si>
    <t>Asset_Type_Raw</t>
  </si>
  <si>
    <t>Configuration_Raw</t>
  </si>
  <si>
    <t>Area_Value</t>
  </si>
  <si>
    <t>Area_Unit</t>
  </si>
  <si>
    <t>Price_Value</t>
  </si>
  <si>
    <t>Price_Unit</t>
  </si>
  <si>
    <t>Price_Frequency</t>
  </si>
  <si>
    <t>Status</t>
  </si>
  <si>
    <t>Remarks</t>
  </si>
  <si>
    <t>K0160</t>
  </si>
  <si>
    <t>3BR Bungalow for weekend stay near Palasdari (Kondhwal)</t>
  </si>
  <si>
    <t>Palasdari (Kondhwal)</t>
  </si>
  <si>
    <t>Bungalow</t>
  </si>
  <si>
    <t>3BR</t>
  </si>
  <si>
    <t>INR</t>
  </si>
  <si>
    <t>Per Night</t>
  </si>
  <si>
    <t>Active</t>
  </si>
  <si>
    <t>Forward 60-day availability calendar; not a confirmed-stay record.</t>
  </si>
  <si>
    <t>K0083</t>
  </si>
  <si>
    <t>3 BHK Farmhouse for weekend stay near Near Neral Station</t>
  </si>
  <si>
    <t>Near Neral Station</t>
  </si>
  <si>
    <t>Farmhouse</t>
  </si>
  <si>
    <t>3 BHK</t>
  </si>
  <si>
    <t>K0200</t>
  </si>
  <si>
    <t>4BHK Farmhouse for rent in Matheran Road</t>
  </si>
  <si>
    <t>Matheran Road</t>
  </si>
  <si>
    <t>4BHK</t>
  </si>
  <si>
    <t>sqft</t>
  </si>
  <si>
    <t>K0087</t>
  </si>
  <si>
    <t>3BHK Row House for sale in Kashele</t>
  </si>
  <si>
    <t>Kashele</t>
  </si>
  <si>
    <t>Row House</t>
  </si>
  <si>
    <t>3BHK</t>
  </si>
  <si>
    <t>Lakh</t>
  </si>
  <si>
    <t>One-time</t>
  </si>
  <si>
    <t>K0009</t>
  </si>
  <si>
    <t>Land Parcel for sale in Karjat Town</t>
  </si>
  <si>
    <t>Karjat Town</t>
  </si>
  <si>
    <t>Land Parcel</t>
  </si>
  <si>
    <t>NA</t>
  </si>
  <si>
    <t>guntha</t>
  </si>
  <si>
    <t>K0209</t>
  </si>
  <si>
    <t>2BHK Villa for weekend stay near Near Matheran Road</t>
  </si>
  <si>
    <t>Near Matheran Road</t>
  </si>
  <si>
    <t>Villa</t>
  </si>
  <si>
    <t>2BHK</t>
  </si>
  <si>
    <t>K0100</t>
  </si>
  <si>
    <t>2 BHK Villa for sale in Kashele Phata</t>
  </si>
  <si>
    <t>Kashele Phata</t>
  </si>
  <si>
    <t>2 BHK</t>
  </si>
  <si>
    <t>Price on Request</t>
  </si>
  <si>
    <t>K0067</t>
  </si>
  <si>
    <t>4BHK Bungalow for rent in Neral</t>
  </si>
  <si>
    <t>Neral</t>
  </si>
  <si>
    <t>Monthly</t>
  </si>
  <si>
    <t>K0033</t>
  </si>
  <si>
    <t>3BR Villa for rent in Central Karjat</t>
  </si>
  <si>
    <t>Central Karjat</t>
  </si>
  <si>
    <t>K0180</t>
  </si>
  <si>
    <t>Plot for sale in Near Matheran Road</t>
  </si>
  <si>
    <t>Plot</t>
  </si>
  <si>
    <t>Crore</t>
  </si>
  <si>
    <t>K0046</t>
  </si>
  <si>
    <t>2BHK Independent House for sale in Near Neral Station</t>
  </si>
  <si>
    <t>Independent House</t>
  </si>
  <si>
    <t>K0159</t>
  </si>
  <si>
    <t>Two BHK Independent House for rent in Kondhwal</t>
  </si>
  <si>
    <t>Kondhwal</t>
  </si>
  <si>
    <t>Two BHK</t>
  </si>
  <si>
    <t>K0199</t>
  </si>
  <si>
    <t>3BR Independent House for rent in Dolkhamb (Matheran Rd)</t>
  </si>
  <si>
    <t>Dolkhamb (Matheran Rd)</t>
  </si>
  <si>
    <t>K0137</t>
  </si>
  <si>
    <t>2 BHK Bungalow for sale in Kondhwal Valley</t>
  </si>
  <si>
    <t>Kondhwal Valley</t>
  </si>
  <si>
    <t>K0010</t>
  </si>
  <si>
    <t>3 BHK Bungalow for sale in Karjat Town</t>
  </si>
  <si>
    <t>K0075</t>
  </si>
  <si>
    <t>3 BHK Independent House for rent in Neral Rd</t>
  </si>
  <si>
    <t>Neral Rd</t>
  </si>
  <si>
    <t>K0099</t>
  </si>
  <si>
    <t>Plot for sale in Kashele Phata</t>
  </si>
  <si>
    <t>acre</t>
  </si>
  <si>
    <t>K0101</t>
  </si>
  <si>
    <t>3 BHK Villa for sale in Kasheli</t>
  </si>
  <si>
    <t>Kasheli</t>
  </si>
  <si>
    <t>K0041</t>
  </si>
  <si>
    <t>Two BHK Bungalow for weekend stay near Karjat</t>
  </si>
  <si>
    <t>Karjat</t>
  </si>
  <si>
    <t>K0205</t>
  </si>
  <si>
    <t>3 BHK Farmhouse for weekend stay near Near Matheran Road</t>
  </si>
  <si>
    <t>K0110</t>
  </si>
  <si>
    <t>Two BHK Bungalow for rent in Kasheli</t>
  </si>
  <si>
    <t>K0115</t>
  </si>
  <si>
    <t>K0012</t>
  </si>
  <si>
    <t>3 BHK Row House for sale in Karjat Station Road</t>
  </si>
  <si>
    <t>Karjat Station Road</t>
  </si>
  <si>
    <t>K0211</t>
  </si>
  <si>
    <t>Land Parcel for sale in Near Neral Station</t>
  </si>
  <si>
    <t>K0179</t>
  </si>
  <si>
    <t>Land Parcel for sale in Near Matheran Road</t>
  </si>
  <si>
    <t>K0055</t>
  </si>
  <si>
    <t>3 BHK Farmhouse for sale in Near Neral Station</t>
  </si>
  <si>
    <t>K0206</t>
  </si>
  <si>
    <t>3BR Farmhouse for weekend stay near Near Matheran Road</t>
  </si>
  <si>
    <t>K0143</t>
  </si>
  <si>
    <t>Two BHK Farmhouse for sale in Palasdari (Kondhwal)</t>
  </si>
  <si>
    <t>K0152</t>
  </si>
  <si>
    <t>4BHK Farmhouse for rent in Kondhwal-Palasdari belt</t>
  </si>
  <si>
    <t>Kondhwal-Palasdari belt</t>
  </si>
  <si>
    <t>K0071</t>
  </si>
  <si>
    <t>3BHK Row House for rent in Near Neral Station</t>
  </si>
  <si>
    <t>K0171</t>
  </si>
  <si>
    <t>Agricultural Land for sale in Matheran Road</t>
  </si>
  <si>
    <t>Agricultural Land</t>
  </si>
  <si>
    <t>K0085</t>
  </si>
  <si>
    <t>Two BHK Farmhouse for sale in Kasheli</t>
  </si>
  <si>
    <t>K0062</t>
  </si>
  <si>
    <t>3BHK Row House for sale in Near Neral Station</t>
  </si>
  <si>
    <t>K0003</t>
  </si>
  <si>
    <t>Plot for sale in Karjat Station Road</t>
  </si>
  <si>
    <t>Sold</t>
  </si>
  <si>
    <t>K0183</t>
  </si>
  <si>
    <t>Two BHK Bungalow for sale in Near Matheran Road</t>
  </si>
  <si>
    <t>K0126</t>
  </si>
  <si>
    <t>2BHK Bungalow for weekend stay near Kashele Phata</t>
  </si>
  <si>
    <t>K0127</t>
  </si>
  <si>
    <t>NA Plot for sale in Kondhwal Valley</t>
  </si>
  <si>
    <t>NA Plot</t>
  </si>
  <si>
    <t>K0026</t>
  </si>
  <si>
    <t>3 BHK Villa for rent in Central Karjat</t>
  </si>
  <si>
    <t>K0157</t>
  </si>
  <si>
    <t>2 BHK Independent House for rent in Kondhwal-Palasdari belt</t>
  </si>
  <si>
    <t>K0036</t>
  </si>
  <si>
    <t>3 BHK Villa for weekend stay near Karjat Town</t>
  </si>
  <si>
    <t>K0113</t>
  </si>
  <si>
    <t>2BHK Row House for rent in Kashele Phata</t>
  </si>
  <si>
    <t>K0045</t>
  </si>
  <si>
    <t>4BHK Bungalow for sale in Neral</t>
  </si>
  <si>
    <t>K0146</t>
  </si>
  <si>
    <t>3BR Villa for sale in Kondhwal</t>
  </si>
  <si>
    <t>K0047</t>
  </si>
  <si>
    <t>3BR Bungalow for sale in Neral</t>
  </si>
  <si>
    <t>K0124</t>
  </si>
  <si>
    <t>3BR Farmhouse for weekend stay near Kashele Phata</t>
  </si>
  <si>
    <t>K0098</t>
  </si>
  <si>
    <t>4BHK Villa for sale in Kashele Village</t>
  </si>
  <si>
    <t>K0088</t>
  </si>
  <si>
    <t>3BR Independent House for sale in Kashele Village</t>
  </si>
  <si>
    <t>Kashele Village</t>
  </si>
  <si>
    <t>K0008</t>
  </si>
  <si>
    <t>Farm Land for sale in Karjat Town</t>
  </si>
  <si>
    <t>Farm Land</t>
  </si>
  <si>
    <t>K0151</t>
  </si>
  <si>
    <t>3BHK Villa for rent in Palasdari (Kondhwal)</t>
  </si>
  <si>
    <t>K0164</t>
  </si>
  <si>
    <t>3BR Villa for weekend stay near Palasdari (Kondhwal)</t>
  </si>
  <si>
    <t>K0194</t>
  </si>
  <si>
    <t>4BHK Villa for rent in Dolkhamb (Matheran Rd)</t>
  </si>
  <si>
    <t>K0042</t>
  </si>
  <si>
    <t>3BR Bungalow for weekend stay near Karjat Station Road</t>
  </si>
  <si>
    <t>K0107</t>
  </si>
  <si>
    <t>Farm for sale in Kashele Village</t>
  </si>
  <si>
    <t>Farm</t>
  </si>
  <si>
    <t>K0148</t>
  </si>
  <si>
    <t>Land Parcel for sale in Palasdari (Kondhwal)</t>
  </si>
  <si>
    <t>Owner quoted 55.41 Lakh verbally, listing price not updated on portal</t>
  </si>
  <si>
    <t>K0163</t>
  </si>
  <si>
    <t>2 BHK Farmhouse for weekend stay near Kondhwal Valley</t>
  </si>
  <si>
    <t>K0066</t>
  </si>
  <si>
    <t>Agricultural Land for sale in Neral</t>
  </si>
  <si>
    <t>K0077</t>
  </si>
  <si>
    <t>4BHK Farmhouse for weekend stay near Near Neral Station</t>
  </si>
  <si>
    <t>K0082</t>
  </si>
  <si>
    <t>3BHK Farmhouse for weekend stay near Neral</t>
  </si>
  <si>
    <t>K0024</t>
  </si>
  <si>
    <t>NA Plot for sale in Central Karjat</t>
  </si>
  <si>
    <t>K0074</t>
  </si>
  <si>
    <t>3 BHK Row House for rent in Neral Village</t>
  </si>
  <si>
    <t>Neral Village</t>
  </si>
  <si>
    <t>K0017</t>
  </si>
  <si>
    <t>3BR Independent House for sale in Karjat West</t>
  </si>
  <si>
    <t>Karjat West</t>
  </si>
  <si>
    <t>K0154</t>
  </si>
  <si>
    <t>K0048</t>
  </si>
  <si>
    <t>3BR Farmhouse for sale in Near Neral Station</t>
  </si>
  <si>
    <t>K0035</t>
  </si>
  <si>
    <t>2BHK Bungalow for weekend stay near Karjat Town</t>
  </si>
  <si>
    <t>K0114</t>
  </si>
  <si>
    <t>4BHK Bungalow for rent in Kasheli</t>
  </si>
  <si>
    <t>K0051</t>
  </si>
  <si>
    <t>Farm Land for sale in Neral Rd</t>
  </si>
  <si>
    <t>K0013</t>
  </si>
  <si>
    <t>K0112</t>
  </si>
  <si>
    <t>2 BHK Bungalow for rent in Kashele</t>
  </si>
  <si>
    <t>K0118</t>
  </si>
  <si>
    <t>3BHK Bungalow for weekend stay near Kashele Village</t>
  </si>
  <si>
    <t>K0027</t>
  </si>
  <si>
    <t>3 BHK Row House for rent in Karjat Station Road</t>
  </si>
  <si>
    <t>K0144</t>
  </si>
  <si>
    <t>2BHK Farmhouse for sale in Kondhwal-Palasdari belt</t>
  </si>
  <si>
    <t>K0167</t>
  </si>
  <si>
    <t>3 BHK Farmhouse for weekend stay near Kondhwal</t>
  </si>
  <si>
    <t>K0214</t>
  </si>
  <si>
    <t>Farm Land for sale in Matheran Road</t>
  </si>
  <si>
    <t>K0086</t>
  </si>
  <si>
    <t>Farm Land for sale in Kashele Village</t>
  </si>
  <si>
    <t>K0069</t>
  </si>
  <si>
    <t>3 BHK Villa for rent in Near Neral Station</t>
  </si>
  <si>
    <t>K0150</t>
  </si>
  <si>
    <t>NA Plot for sale in Kondhwal-Palasdari belt</t>
  </si>
  <si>
    <t>K0125</t>
  </si>
  <si>
    <t>2 BHK Bungalow for weekend stay near Kashele</t>
  </si>
  <si>
    <t>K0011</t>
  </si>
  <si>
    <t>Land Parcel for sale in Karjat West</t>
  </si>
  <si>
    <t>K0084</t>
  </si>
  <si>
    <t>Two BHK Villa for weekend stay near Near Neral Station</t>
  </si>
  <si>
    <t>K0176</t>
  </si>
  <si>
    <t>K0050</t>
  </si>
  <si>
    <t>Plot for sale in Near Neral Station</t>
  </si>
  <si>
    <t>K0193</t>
  </si>
  <si>
    <t>3BHK Bungalow for rent in Matheran Rd belt</t>
  </si>
  <si>
    <t>Matheran Rd belt</t>
  </si>
  <si>
    <t>K0070</t>
  </si>
  <si>
    <t>3BR Bungalow for rent in Near Neral Station</t>
  </si>
  <si>
    <t>K0039</t>
  </si>
  <si>
    <t>Two BHK Villa for weekend stay near Central Karjat</t>
  </si>
  <si>
    <t>K0129</t>
  </si>
  <si>
    <t>Agricultural Land for sale in Kondhwal Valley</t>
  </si>
  <si>
    <t>K0097</t>
  </si>
  <si>
    <t>K0052</t>
  </si>
  <si>
    <t>2 BHK Villa for sale in Neral</t>
  </si>
  <si>
    <t>K0004</t>
  </si>
  <si>
    <t>K0105</t>
  </si>
  <si>
    <t>NA Plot for sale in Kashele</t>
  </si>
  <si>
    <t>K0108</t>
  </si>
  <si>
    <t>K0038</t>
  </si>
  <si>
    <t>Two BHK Bungalow for weekend stay near Central Karjat</t>
  </si>
  <si>
    <t>K0021</t>
  </si>
  <si>
    <t>3BR Row House for sale in Central Karjat</t>
  </si>
  <si>
    <t>K0049</t>
  </si>
  <si>
    <t>K0181</t>
  </si>
  <si>
    <t>3BHK Villa for sale in Matheran Rd belt</t>
  </si>
  <si>
    <t>K0096</t>
  </si>
  <si>
    <t>Agricultural Land for sale in Kashele</t>
  </si>
  <si>
    <t>Owner quoted 2.11 Crore verbally, listing price not updated on portal</t>
  </si>
  <si>
    <t>K0158</t>
  </si>
  <si>
    <t>2 BHK Farmhouse for rent in Palasdari (Kondhwal)</t>
  </si>
  <si>
    <t>K0187</t>
  </si>
  <si>
    <t>NA Plot for sale in Near Matheran Road</t>
  </si>
  <si>
    <t>K0162</t>
  </si>
  <si>
    <t>3 BHK Villa for weekend stay near Kondhwal-Palasdari belt</t>
  </si>
  <si>
    <t>K0030</t>
  </si>
  <si>
    <t>3BR Independent House for rent in Karjat</t>
  </si>
  <si>
    <t>K0002</t>
  </si>
  <si>
    <t>4BHK Bungalow for sale in Karjat</t>
  </si>
  <si>
    <t>K0175</t>
  </si>
  <si>
    <t>2 BHK Farmhouse for sale in Dolkhamb (Matheran Rd)</t>
  </si>
  <si>
    <t>K0195</t>
  </si>
  <si>
    <t>Two BHK Row House for rent in Matheran Road</t>
  </si>
  <si>
    <t>K0092</t>
  </si>
  <si>
    <t>K0178</t>
  </si>
  <si>
    <t>3BHK Row House for sale in Matheran Rd belt</t>
  </si>
  <si>
    <t>K0080</t>
  </si>
  <si>
    <t>3 BHK Bungalow for weekend stay near Near Neral Station</t>
  </si>
  <si>
    <t>K0053</t>
  </si>
  <si>
    <t>Farm for sale in Neral Rd</t>
  </si>
  <si>
    <t>K0138</t>
  </si>
  <si>
    <t>NA Plot for sale in Kondhwal</t>
  </si>
  <si>
    <t>K0068</t>
  </si>
  <si>
    <t>4BHK Villa for rent in Neral</t>
  </si>
  <si>
    <t>K0073</t>
  </si>
  <si>
    <t>2BHK Farmhouse for rent in Neral</t>
  </si>
  <si>
    <t>K0207</t>
  </si>
  <si>
    <t>2BHK Farmhouse for weekend stay near Matheran Rd belt</t>
  </si>
  <si>
    <t>K0020</t>
  </si>
  <si>
    <t>Farm Land for sale in Central Karjat</t>
  </si>
  <si>
    <t>K0166</t>
  </si>
  <si>
    <t>K0117</t>
  </si>
  <si>
    <t>2BHK Independent House for rent in Kashele Phata</t>
  </si>
  <si>
    <t>K0104</t>
  </si>
  <si>
    <t>NA Plot for sale in Kashele Village</t>
  </si>
  <si>
    <t>K0196</t>
  </si>
  <si>
    <t>Two BHK Independent House for rent in Matheran Rd belt</t>
  </si>
  <si>
    <t>K0116</t>
  </si>
  <si>
    <t>K0109</t>
  </si>
  <si>
    <t>K0188</t>
  </si>
  <si>
    <t>K0190</t>
  </si>
  <si>
    <t>Agricultural Land for sale in Dolkhamb (Matheran Rd)</t>
  </si>
  <si>
    <t>K0014</t>
  </si>
  <si>
    <t>3BHK Villa for sale in Karjat Station Road</t>
  </si>
  <si>
    <t>K0072</t>
  </si>
  <si>
    <t>3BR Bungalow for rent in Neral Rd</t>
  </si>
  <si>
    <t>K0169</t>
  </si>
  <si>
    <t>4BHK Row House for sale in Near Matheran Road</t>
  </si>
  <si>
    <t>K0058</t>
  </si>
  <si>
    <t>NA Plot for sale in Neral Rd</t>
  </si>
  <si>
    <t>K0136</t>
  </si>
  <si>
    <t>K0198</t>
  </si>
  <si>
    <t>Two BHK Row House for rent in Dolkhamb (Matheran Rd)</t>
  </si>
  <si>
    <t>K0156</t>
  </si>
  <si>
    <t>3 BHK Independent House for rent in Kondhwal-Palasdari belt</t>
  </si>
  <si>
    <t>K0060</t>
  </si>
  <si>
    <t>4BHK Independent House for sale in Neral Rd</t>
  </si>
  <si>
    <t>K0153</t>
  </si>
  <si>
    <t>2 BHK Bungalow for rent in Palasdari (Kondhwal)</t>
  </si>
  <si>
    <t>K0064</t>
  </si>
  <si>
    <t>NA Plot for sale in Near Neral Station</t>
  </si>
  <si>
    <t>K0063</t>
  </si>
  <si>
    <t>Plot for sale in Neral</t>
  </si>
  <si>
    <t>K0091</t>
  </si>
  <si>
    <t>Plot for sale in Kashele Village</t>
  </si>
  <si>
    <t>K0076</t>
  </si>
  <si>
    <t>3BHK Bungalow for weekend stay near Near Neral Station</t>
  </si>
  <si>
    <t>K0079</t>
  </si>
  <si>
    <t>3BHK Villa for weekend stay near Neral</t>
  </si>
  <si>
    <t>K0189</t>
  </si>
  <si>
    <t>K0131</t>
  </si>
  <si>
    <t>Farm Land for sale in Kondhwal Valley</t>
  </si>
  <si>
    <t>K0023</t>
  </si>
  <si>
    <t>2 BHK Row House for sale in Karjat West</t>
  </si>
  <si>
    <t>K0034</t>
  </si>
  <si>
    <t>K0061</t>
  </si>
  <si>
    <t>Farm Land for sale in Neral</t>
  </si>
  <si>
    <t>K0215</t>
  </si>
  <si>
    <t>Villa for sale in Kashele Phata</t>
  </si>
  <si>
    <t>K0032</t>
  </si>
  <si>
    <t>4BHK Row House for rent in Karjat West</t>
  </si>
  <si>
    <t>K0201</t>
  </si>
  <si>
    <t>3BHK Farmhouse for rent in Matheran Road</t>
  </si>
  <si>
    <t>K0078</t>
  </si>
  <si>
    <t>3 BHK Bungalow for weekend stay near Neral</t>
  </si>
  <si>
    <t>K0170</t>
  </si>
  <si>
    <t>3BR Bungalow for sale in Matheran Road</t>
  </si>
  <si>
    <t>K0186</t>
  </si>
  <si>
    <t>NA Plot for sale in Dolkhamb (Matheran Rd)</t>
  </si>
  <si>
    <t>K0139</t>
  </si>
  <si>
    <t>K0149</t>
  </si>
  <si>
    <t>3BHK Bungalow for sale in Kondhwal-Palasdari belt</t>
  </si>
  <si>
    <t>K0141</t>
  </si>
  <si>
    <t>Farm for sale in Kondhwal-Palasdari belt</t>
  </si>
  <si>
    <t>K0106</t>
  </si>
  <si>
    <t>Farm for sale in Kashele</t>
  </si>
  <si>
    <t>K0090</t>
  </si>
  <si>
    <t>3 BHK Independent House for sale in Kashele</t>
  </si>
  <si>
    <t>K0028</t>
  </si>
  <si>
    <t>3BHK Row House for rent in Karjat Station Road</t>
  </si>
  <si>
    <t>K0007</t>
  </si>
  <si>
    <t>Two BHK Farmhouse for sale in Karjat Town</t>
  </si>
  <si>
    <t>K0094</t>
  </si>
  <si>
    <t>Two BHK Independent House for sale in Kashele Village</t>
  </si>
  <si>
    <t>K0174</t>
  </si>
  <si>
    <t>3BHK Bungalow for sale in Matheran Rd belt</t>
  </si>
  <si>
    <t>K0005</t>
  </si>
  <si>
    <t>Farm for sale in Karjat West</t>
  </si>
  <si>
    <t>K0210</t>
  </si>
  <si>
    <t>3 BHK Bungalow for weekend stay near Dolkhamb (Matheran Rd)</t>
  </si>
  <si>
    <t>K0120</t>
  </si>
  <si>
    <t>3 BHK Bungalow for weekend stay near Kashele</t>
  </si>
  <si>
    <t>K0191</t>
  </si>
  <si>
    <t>Two BHK Row House for sale in Near Matheran Road</t>
  </si>
  <si>
    <t>K0031</t>
  </si>
  <si>
    <t>3BHK Bungalow for rent in Central Karjat</t>
  </si>
  <si>
    <t>K0122</t>
  </si>
  <si>
    <t>4BHK Farmhouse for weekend stay near Kashele</t>
  </si>
  <si>
    <t>K0065</t>
  </si>
  <si>
    <t>K0165</t>
  </si>
  <si>
    <t>3 BHK Bungalow for weekend stay near Palasdari (Kondhwal)</t>
  </si>
  <si>
    <t>K0043</t>
  </si>
  <si>
    <t>3BHK Farmhouse for sale in Neral Rd</t>
  </si>
  <si>
    <t>K0001</t>
  </si>
  <si>
    <t>K0022</t>
  </si>
  <si>
    <t>Plot for sale in Karjat West</t>
  </si>
  <si>
    <t>K0025</t>
  </si>
  <si>
    <t>2 BHK Bungalow for rent in Karjat Town</t>
  </si>
  <si>
    <t>K0192</t>
  </si>
  <si>
    <t>Farm for sale in Matheran Road</t>
  </si>
  <si>
    <t>K0132</t>
  </si>
  <si>
    <t>K0037</t>
  </si>
  <si>
    <t>3BHK Farmhouse for weekend stay near Karjat</t>
  </si>
  <si>
    <t>K0095</t>
  </si>
  <si>
    <t>K0128</t>
  </si>
  <si>
    <t>Land Parcel for sale in Kondhwal</t>
  </si>
  <si>
    <t>K0054</t>
  </si>
  <si>
    <t>4BHK Row House for sale in Neral</t>
  </si>
  <si>
    <t>K0155</t>
  </si>
  <si>
    <t>3 BHK Farmhouse for rent in Kondhwal Valley</t>
  </si>
  <si>
    <t>K0134</t>
  </si>
  <si>
    <t>K0056</t>
  </si>
  <si>
    <t>K0182</t>
  </si>
  <si>
    <t>K0103</t>
  </si>
  <si>
    <t>Land Parcel for sale in Kashele Village</t>
  </si>
  <si>
    <t>K0173</t>
  </si>
  <si>
    <t>Farm Land for sale in Near Matheran Road</t>
  </si>
  <si>
    <t>K0204</t>
  </si>
  <si>
    <t>3BHK Villa for weekend stay near Near Matheran Road</t>
  </si>
  <si>
    <t>K0018</t>
  </si>
  <si>
    <t>Agricultural Land for sale in Karjat</t>
  </si>
  <si>
    <t>K0015</t>
  </si>
  <si>
    <t>2 BHK Villa for sale in Karjat Town</t>
  </si>
  <si>
    <t>K0029</t>
  </si>
  <si>
    <t>Two BHK Bungalow for rent in Karjat</t>
  </si>
  <si>
    <t>K0185</t>
  </si>
  <si>
    <t>K0142</t>
  </si>
  <si>
    <t>Plot for sale in Kondhwal</t>
  </si>
  <si>
    <t>K0197</t>
  </si>
  <si>
    <t>3BR Villa for rent in Matheran Rd belt</t>
  </si>
  <si>
    <t>K0059</t>
  </si>
  <si>
    <t>2BHK Row House for sale in Neral Village</t>
  </si>
  <si>
    <t>K0111</t>
  </si>
  <si>
    <t>4BHK Farmhouse for rent in Kashele Village</t>
  </si>
  <si>
    <t>K0102</t>
  </si>
  <si>
    <t>K0213</t>
  </si>
  <si>
    <t>K0057</t>
  </si>
  <si>
    <t>Agricultural Land for sale in Neral Rd</t>
  </si>
  <si>
    <t>K0016</t>
  </si>
  <si>
    <t>K0161</t>
  </si>
  <si>
    <t>2BHK Bungalow for weekend stay near Palasdari (Kondhwal)</t>
  </si>
  <si>
    <t>K0172</t>
  </si>
  <si>
    <t>Owner quoted 73.26 Lakh verbally, listing price not updated on portal</t>
  </si>
  <si>
    <t>K0212</t>
  </si>
  <si>
    <t>K0123</t>
  </si>
  <si>
    <t>3 BHK Bungalow for weekend stay near Kashele Phata</t>
  </si>
  <si>
    <t>K0081</t>
  </si>
  <si>
    <t>2 BHK Farmhouse for weekend stay near Neral Rd</t>
  </si>
  <si>
    <t>K0130</t>
  </si>
  <si>
    <t>2BHK Farmhouse for sale in Kondhwal Valley</t>
  </si>
  <si>
    <t>K0119</t>
  </si>
  <si>
    <t>3BR Bungalow for weekend stay near Kashele</t>
  </si>
  <si>
    <t>K0044</t>
  </si>
  <si>
    <t>4BHK Farmhouse for sale in Neral</t>
  </si>
  <si>
    <t>K0093</t>
  </si>
  <si>
    <t>2BHK Villa for sale in Kasheli</t>
  </si>
  <si>
    <t>K0019</t>
  </si>
  <si>
    <t>3BR Row House for sale in Karjat</t>
  </si>
  <si>
    <t>K0121</t>
  </si>
  <si>
    <t>3 BHK Farmhouse for weekend stay near Kashele Phata</t>
  </si>
  <si>
    <t>K0040</t>
  </si>
  <si>
    <t>3 BHK Bungalow for weekend stay near Karjat Town</t>
  </si>
  <si>
    <t>K0168</t>
  </si>
  <si>
    <t>K0216</t>
  </si>
  <si>
    <t>K0006</t>
  </si>
  <si>
    <t>2BHK Independent House for sale in Karjat</t>
  </si>
  <si>
    <t>K0089</t>
  </si>
  <si>
    <t>3 BHK Bungalow for sale in Kashele Phata</t>
  </si>
  <si>
    <t>K0184</t>
  </si>
  <si>
    <t>4BHK Villa for sale in Near Matheran Road</t>
  </si>
  <si>
    <t>K0177</t>
  </si>
  <si>
    <t>Agricultural Land for sale in Near Matheran Road</t>
  </si>
  <si>
    <t>Micro_Market</t>
  </si>
  <si>
    <t>Standard_Asset_Class</t>
  </si>
  <si>
    <t>Standard_BHK</t>
  </si>
  <si>
    <t>Vertical</t>
  </si>
  <si>
    <t>Price_INR</t>
  </si>
  <si>
    <t>Area_Sqft</t>
  </si>
  <si>
    <t>Notes</t>
  </si>
  <si>
    <t xml:space="preserve">Kashele </t>
  </si>
  <si>
    <t xml:space="preserve">Matheran Rd </t>
  </si>
  <si>
    <t>Raw Locality</t>
  </si>
  <si>
    <t>Micro Market</t>
  </si>
  <si>
    <t>Unique Raw Localities</t>
  </si>
  <si>
    <t>Raw_Asset_Type</t>
  </si>
  <si>
    <t>Asset_Class</t>
  </si>
  <si>
    <t>Farmland</t>
  </si>
  <si>
    <t>Raw_Configuration</t>
  </si>
  <si>
    <t>BHK_Configuration</t>
  </si>
  <si>
    <t>4 BHK</t>
  </si>
  <si>
    <t>Vertical Evidence</t>
  </si>
  <si>
    <t>Unique Status</t>
  </si>
  <si>
    <t>Long Term Rental</t>
  </si>
  <si>
    <t>Resale</t>
  </si>
  <si>
    <t>Short Term Rental</t>
  </si>
  <si>
    <t>Section A - Segmentation Summary (the foundation)</t>
  </si>
  <si>
    <t>Before any analytics, establish structure. For every listing in Raw_Data, determine: which micro-market it belongs to, its standardized asset class (Villa / Plot / Farmland), its BHK configuration (where applicable), and its vertical (Resale / Long-Term Rental / Short-Term Rental). You can do this with helper columns in Raw_Data, a separate sheet, or a script - your choice. Then fill in the summary grid below: number of usable listings per Micro-Market x Asset Class x Vertical.</t>
  </si>
  <si>
    <t>Micro-Market</t>
  </si>
  <si>
    <t>Asset Class</t>
  </si>
  <si>
    <t>Resale (N)</t>
  </si>
  <si>
    <t>LTR (N)</t>
  </si>
  <si>
    <t>STR (N)</t>
  </si>
  <si>
    <t>Section B - Karjat Analytics</t>
  </si>
  <si>
    <t>Using only cleaned, unit-normalized, de-duplicated data:</t>
  </si>
  <si>
    <t>Metric</t>
  </si>
  <si>
    <t>Value</t>
  </si>
  <si>
    <t>Basis (N, method)</t>
  </si>
  <si>
    <t>Caveat (if any)</t>
  </si>
  <si>
    <t>Resale PPSF - strongest micro-market/asset combo</t>
  </si>
  <si>
    <t>Resale PPSF - weakest / too-thin-to-report combo(s)</t>
  </si>
  <si>
    <t>LTR - median INR/sqft/month, best micro-market</t>
  </si>
  <si>
    <t>Implied gross rental yield - best micro-market (Villa)</t>
  </si>
  <si>
    <t>STR - median ADR, best micro-market</t>
  </si>
  <si>
    <t>STR - occupancy rate</t>
  </si>
  <si>
    <t>One synthesis question: across all three verticals, which micro-market/asset-class combination would you flag to the business as the strongest current case for short-term-rental positioning over a straight resale play - and which would you flag as too data-thin to make any claim at all? Answer below.</t>
  </si>
  <si>
    <t>Section C - Decision Log</t>
  </si>
  <si>
    <t>At least 5 entries. Specific row(s), what you decided, and why - in your own words.</t>
  </si>
  <si>
    <t>#</t>
  </si>
  <si>
    <t>Row ID(s)</t>
  </si>
  <si>
    <t>Decision &amp; Reasoning</t>
  </si>
  <si>
    <t>Section D - How Would You Present This to Sales?</t>
  </si>
  <si>
    <t>This is the part we care about most. Not a written summary of your numbers - an actual answer to how you'd put this in front of a sales team member before a client call. What format (one-pager, slide, dashboard, a table plus three spoken lines)? What's the headline you'd lead with? What would you deliberately leave out, footnote, or downgrade in confidence, and why?</t>
  </si>
  <si>
    <t>Section E - What Else Would You Do</t>
  </si>
  <si>
    <t>Optional, but we're genuinely interested. If you had one more day: what additional analysis, data, or presentation element would you add, and why?</t>
  </si>
  <si>
    <t>Resale_PPSF</t>
  </si>
  <si>
    <t>Asset</t>
  </si>
  <si>
    <t>Median Resale PPSF</t>
  </si>
  <si>
    <t>Matheran Road , Villa, 5,034.61rs/sq ft</t>
  </si>
  <si>
    <t>based on available rescale listings</t>
  </si>
  <si>
    <t xml:space="preserve"> N = 10,  Median resale PPSF </t>
  </si>
  <si>
    <t xml:space="preserve">N = 5,  Median resale PPSF </t>
  </si>
  <si>
    <t>Kondhwal Valley , Farmland, 123.37rs/sq ft</t>
  </si>
  <si>
    <t>LTR_INR_per_Sqft_Month</t>
  </si>
  <si>
    <t>Resale N</t>
  </si>
  <si>
    <t>LTR N</t>
  </si>
  <si>
    <t>Median LTR INR/sqft/month</t>
  </si>
  <si>
    <t>Matheran Road — ₹15.94/sqft</t>
  </si>
  <si>
    <t>N = 8, median LTR INR/sqft for Matheran Road Villa</t>
  </si>
  <si>
    <t>Based on 8 Long Term Rental records; LTR observations are available only for Villa in this dataset.</t>
  </si>
  <si>
    <t>Implied Gross Rental Yield %</t>
  </si>
  <si>
    <t>Kondhwal Valley Villa — 4.37%</t>
  </si>
  <si>
    <t>N = 9; calculated as (median LTR INR/sqft/month × 12 ÷ median resale PPSF) × 100</t>
  </si>
  <si>
    <t>Median STR ADR</t>
  </si>
  <si>
    <t>Kondhwal Valley — ₹6,300/night</t>
  </si>
  <si>
    <t>Median of STR nightly prices for Kondhwal Valley</t>
  </si>
  <si>
    <t>Status indicates listing status, not actual occupancy.</t>
  </si>
  <si>
    <t>Not calculable from available data</t>
  </si>
  <si>
    <t>I would flag Kondhwal Valley Villa as the strongest current case for short term rental. It has the highest median short term rental price at ₹6,300 per night, along with a reasonable resale value and 4.37% implied rental yield from long term rental data.For a data thin combination, I would say Plot and Farmland, since there are very few short term rental listings to make a reliable comparison or conclusion.</t>
  </si>
  <si>
    <t>Relevant rows</t>
  </si>
  <si>
    <t>I used median resale PPSF rather than average because a few unusually high or low priced listings could distort the comparison.</t>
  </si>
  <si>
    <t>I compared resale PPSF with implied rental yield to identify markets that combine a relatively lower entry price with stronger rental potential.</t>
  </si>
  <si>
    <t>Relevant rows ( Also in dashboard )</t>
  </si>
  <si>
    <t>I did not make a strong STR recommendation for Plot and Farmland because the available STR observations were too limited to support a reliable conclusion.</t>
  </si>
  <si>
    <r>
      <t xml:space="preserve">I would present this as a one page Power BI dashboard focused on where the strongest property opportunities currently appear. I would start with the key finding rather than walking through every chart. I would highlight the micro markets that combine attractive resale pricing with stronger rental yields, then use the asset level breakdown to show which property types are driving the opportunity. I would avoid presenting small sample results as strong conclusions and would clearly flag areas where the STR data is limited.I ahve created a PowerBI dashboard and added a scatter plot which clearly helps the user which can indicate a more attractive rental investment opportunity. From that chart we have got an important insight </t>
    </r>
    <r>
      <rPr>
        <b/>
        <sz val="11"/>
        <color theme="1"/>
        <rFont val="Calibri"/>
        <family val="2"/>
      </rPr>
      <t>Kondhwal Valley</t>
    </r>
    <r>
      <rPr>
        <sz val="11"/>
        <color theme="1"/>
        <rFont val="Calibri"/>
        <family val="2"/>
        <charset val="1"/>
      </rPr>
      <t xml:space="preserve"> stands out most clearly.
It has the lowest resale PPSF among the five markets while also having the highest implied gross rental yield.</t>
    </r>
    <r>
      <rPr>
        <b/>
        <sz val="11"/>
        <color theme="1"/>
        <rFont val="Calibri"/>
        <family val="2"/>
      </rPr>
      <t>Neral</t>
    </r>
    <r>
      <rPr>
        <sz val="11"/>
        <color theme="1"/>
        <rFont val="Calibri"/>
        <family val="2"/>
        <charset val="1"/>
      </rPr>
      <t xml:space="preserve"> is also relatively attractive because its resale price is still lower than Kashele, Karjat Town and Matheran Road while its yield is relatively high.At the other end, </t>
    </r>
    <r>
      <rPr>
        <b/>
        <sz val="11"/>
        <color theme="1"/>
        <rFont val="Calibri"/>
        <family val="2"/>
      </rPr>
      <t>Karjat Town</t>
    </r>
    <r>
      <rPr>
        <sz val="11"/>
        <color theme="1"/>
        <rFont val="Calibri"/>
        <family val="2"/>
        <charset val="1"/>
      </rPr>
      <t xml:space="preserve"> and </t>
    </r>
    <r>
      <rPr>
        <b/>
        <sz val="11"/>
        <color theme="1"/>
        <rFont val="Calibri"/>
        <family val="2"/>
      </rPr>
      <t>Matheran Road</t>
    </r>
    <r>
      <rPr>
        <sz val="11"/>
        <color theme="1"/>
        <rFont val="Calibri"/>
        <family val="2"/>
        <charset val="1"/>
      </rPr>
      <t xml:space="preserve"> have </t>
    </r>
    <r>
      <rPr>
        <b/>
        <sz val="11"/>
        <color theme="1"/>
        <rFont val="Calibri"/>
        <family val="2"/>
      </rPr>
      <t>higher resale prices</t>
    </r>
    <r>
      <rPr>
        <sz val="11"/>
        <color theme="1"/>
        <rFont val="Calibri"/>
        <family val="2"/>
        <charset val="1"/>
      </rPr>
      <t xml:space="preserve"> but</t>
    </r>
    <r>
      <rPr>
        <b/>
        <sz val="11"/>
        <color theme="1"/>
        <rFont val="Calibri"/>
        <family val="2"/>
      </rPr>
      <t xml:space="preserve"> lower yields</t>
    </r>
    <r>
      <rPr>
        <sz val="11"/>
        <color theme="1"/>
        <rFont val="Calibri"/>
        <family val="2"/>
        <charset val="1"/>
      </rPr>
      <t>, so they look less attractive if the objective is specifically rental income.</t>
    </r>
  </si>
  <si>
    <t>I did not rely fully on the listed price because the remark says the owner quoted ₹2.11 crore verbally but the portal price was not updated. I treated this as a pricing reliability issue.</t>
  </si>
  <si>
    <t>If I had more time I would do more detailed manual analysis since it has fewer rows , and also few reportings with the dashboard. Also I would go deeper with the pricing. More importantly I would focus more on the excel formulas which I used. These I would do because it will help me to deliver better insights and recommendations and also it would help the sales team member understand more clearly.</t>
  </si>
  <si>
    <t>STR availability is not the same as confirmed bookings, so I kept the conclusion cautious.</t>
  </si>
  <si>
    <t xml:space="preserve"> rows related to Plot and Farmland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</si>
</sst>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3"/>
      <color rgb="FF1F2A4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theme="1" tint="4.9989318521683403E-2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2A44"/>
        <bgColor rgb="FF262626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right" readingOrder="1"/>
    </xf>
    <xf numFmtId="0" fontId="1" fillId="2" borderId="2" xfId="0" applyFont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left" readingOrder="1"/>
    </xf>
    <xf numFmtId="0" fontId="1" fillId="2" borderId="3" xfId="0" applyFont="1" applyFill="1" applyBorder="1" applyAlignment="1">
      <alignment horizontal="right" readingOrder="1"/>
    </xf>
    <xf numFmtId="0" fontId="1" fillId="2" borderId="2" xfId="0" applyFont="1" applyFill="1" applyBorder="1" applyAlignment="1">
      <alignment horizontal="left" readingOrder="1"/>
    </xf>
    <xf numFmtId="0" fontId="4" fillId="0" borderId="0" xfId="1" applyFont="1"/>
    <xf numFmtId="0" fontId="3" fillId="0" borderId="0" xfId="1"/>
    <xf numFmtId="0" fontId="6" fillId="3" borderId="0" xfId="1" applyFont="1" applyFill="1" applyAlignment="1">
      <alignment horizontal="center" vertical="center" wrapText="1"/>
    </xf>
    <xf numFmtId="0" fontId="7" fillId="0" borderId="4" xfId="1" applyFont="1" applyBorder="1"/>
    <xf numFmtId="0" fontId="3" fillId="0" borderId="4" xfId="1" applyBorder="1"/>
    <xf numFmtId="0" fontId="5" fillId="0" borderId="0" xfId="1" applyFont="1"/>
    <xf numFmtId="0" fontId="5" fillId="0" borderId="0" xfId="1" applyFont="1" applyAlignment="1">
      <alignment vertical="top"/>
    </xf>
    <xf numFmtId="0" fontId="1" fillId="2" borderId="5" xfId="1" applyFont="1" applyFill="1" applyBorder="1" applyAlignment="1">
      <alignment horizontal="left" readingOrder="1"/>
    </xf>
    <xf numFmtId="0" fontId="1" fillId="2" borderId="6" xfId="1" applyFont="1" applyFill="1" applyBorder="1" applyAlignment="1">
      <alignment horizontal="left" readingOrder="1"/>
    </xf>
    <xf numFmtId="0" fontId="5" fillId="0" borderId="0" xfId="1" applyFont="1" applyAlignment="1">
      <alignment horizontal="left" vertical="top" wrapText="1"/>
    </xf>
    <xf numFmtId="0" fontId="8" fillId="0" borderId="4" xfId="1" applyFont="1" applyBorder="1"/>
    <xf numFmtId="0" fontId="3" fillId="0" borderId="4" xfId="1" applyBorder="1"/>
    <xf numFmtId="0" fontId="3" fillId="0" borderId="4" xfId="1" applyBorder="1" applyAlignment="1">
      <alignment wrapText="1"/>
    </xf>
  </cellXfs>
  <cellStyles count="2">
    <cellStyle name="Normal" xfId="0" builtinId="0"/>
    <cellStyle name="Normal 2" xfId="1" xr:uid="{31D36BE6-3660-4C5E-B470-DE7EC1F23E52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FA65E-D9CB-46DC-9182-4A18E33793A6}" name="RawData" displayName="RawData" ref="A1:AC209" totalsRowShown="0" dataDxfId="34" tableBorderDxfId="33">
  <autoFilter ref="A1:AC209" xr:uid="{BF3FA65E-D9CB-46DC-9182-4A18E33793A6}"/>
  <sortState xmlns:xlrd2="http://schemas.microsoft.com/office/spreadsheetml/2017/richdata2" ref="A2:T209">
    <sortCondition ref="A1:A209"/>
  </sortState>
  <tableColumns count="29">
    <tableColumn id="1" xr3:uid="{DE7FD02A-8DA7-492B-A464-98EEF4218D0B}" name="Listing_ID" dataDxfId="32"/>
    <tableColumn id="2" xr3:uid="{27792742-D4F0-474F-8165-C6824FBB4AFC}" name="Raw_Title" dataDxfId="31"/>
    <tableColumn id="3" xr3:uid="{D95B8491-34F2-40F6-BADE-B5BE0AD0E35A}" name="Locality_Text" dataDxfId="30"/>
    <tableColumn id="4" xr3:uid="{A80BC440-91A2-401F-9D56-D06405FEEAAC}" name="Asset_Type_Raw" dataDxfId="29"/>
    <tableColumn id="5" xr3:uid="{9585F8F3-18C7-47B4-89F5-5FC896FC0C71}" name="Configuration_Raw" dataDxfId="28"/>
    <tableColumn id="6" xr3:uid="{7A2C6868-DFBA-455D-AF1F-C32F6258FA64}" name="Area_Value" dataDxfId="27"/>
    <tableColumn id="7" xr3:uid="{A38A3B56-3103-4E3A-A5DF-E0CEF1DA8FA9}" name="Area_Unit" dataDxfId="26"/>
    <tableColumn id="8" xr3:uid="{85FB9320-1713-4289-B5D5-C3890C7E1E6B}" name="Price_Value" dataDxfId="25"/>
    <tableColumn id="9" xr3:uid="{19D90DF6-C514-461A-905D-229B9E43BDE6}" name="Price_Unit" dataDxfId="24"/>
    <tableColumn id="10" xr3:uid="{C5FCD57C-B390-47D1-B3EC-4F67EE1F0D7A}" name="Price_Frequency" dataDxfId="23"/>
    <tableColumn id="11" xr3:uid="{E4D3E05A-D9C1-49F4-9429-87984ED8E851}" name="Status" dataDxfId="22"/>
    <tableColumn id="12" xr3:uid="{79DF4B6F-0F58-41F2-BAD7-17A117FE3762}" name="Remarks" dataDxfId="21"/>
    <tableColumn id="13" xr3:uid="{C339177E-B391-4A7E-9670-4D49AAB96164}" name="Micro_Market" dataDxfId="20">
      <calculatedColumnFormula>_xlfn.XLOOKUP(TRIM(C2),MAPPING!A:A,MAPPING!B:B,"CHECK")</calculatedColumnFormula>
    </tableColumn>
    <tableColumn id="14" xr3:uid="{277B63DD-4324-4194-8B95-BF587707F4C5}" name="Standard_Asset_Class" dataDxfId="19">
      <calculatedColumnFormula>_xlfn.XLOOKUP(D2,MAPPING!G:G,MAPPING!H:H,"CHECK")</calculatedColumnFormula>
    </tableColumn>
    <tableColumn id="15" xr3:uid="{0A09365A-6435-4D69-B235-30F5A6B3050D}" name="Standard_BHK" dataDxfId="18">
      <calculatedColumnFormula>_xlfn.XLOOKUP(E2,MAPPING!J:J,MAPPING!K:K,"CHECK")</calculatedColumnFormula>
    </tableColumn>
    <tableColumn id="16" xr3:uid="{916BB23B-A34E-4A06-AC27-71C4CEDD68E5}" name="Vertical" dataDxfId="17">
      <calculatedColumnFormula>_xlfn.XLOOKUP(J2,MAPPING!M:M,MAPPING!N:N,"CHECK")</calculatedColumnFormula>
    </tableColumn>
    <tableColumn id="17" xr3:uid="{0BE6D68C-768E-4E4C-9326-912DA1E6DC8F}" name="Price_INR" dataDxfId="16">
      <calculatedColumnFormula>IF(I2="INR",H2,IF(I2="Lakh",H2*100000,IF(I2="Crore",H2*10000000,IF(I2="Thousand",H2*1000,""))))</calculatedColumnFormula>
    </tableColumn>
    <tableColumn id="18" xr3:uid="{24DB02C7-E65F-46DF-9059-238B18975B79}" name="Area_Sqft" dataDxfId="15">
      <calculatedColumnFormula>IF(G2="sqft",F2,IF(G2="sqyd",F2*9,IF(G2="acre",F2*43560,IF(G2="guntha",F2*1089,IF(G2="hectare",F2*107639.1,"")))))</calculatedColumnFormula>
    </tableColumn>
    <tableColumn id="19" xr3:uid="{862C3911-DF04-43C6-9646-C7BDFE30B23F}" name="Resale_PPSF" dataDxfId="14">
      <calculatedColumnFormula>IF(AND(P2="Resale",R2&gt;0),Q2/R2,"")</calculatedColumnFormula>
    </tableColumn>
    <tableColumn id="20" xr3:uid="{4EB87B74-8EC6-4C5A-97E8-3FD82332F277}" name="Notes" dataDxfId="13"/>
    <tableColumn id="21" xr3:uid="{E8427C16-843F-4F3D-9912-69F68C5F6F3F}" name="Micro Market" dataDxfId="12"/>
    <tableColumn id="22" xr3:uid="{2BE9DD56-B9C8-4634-B231-C7AEDC1A083D}" name="Asset" dataDxfId="11"/>
    <tableColumn id="23" xr3:uid="{97926687-DE7B-428A-A3BC-E378DC7E78F9}" name="Resale N" dataDxfId="10">
      <calculatedColumnFormula>COUNTIFS($M$2:$M$209,U2,$N$2:$N$209,V2,$P$2:$P$209,"Resale")</calculatedColumnFormula>
    </tableColumn>
    <tableColumn id="24" xr3:uid="{69872AE2-2AAA-4E07-A591-CE280173D5D6}" name="Median Resale PPSF" dataDxfId="9">
      <calculatedColumnFormula array="1">IF(W2=0,"",MEDIANIFS($S$2:$S$209,$M$2:$M$209,U2,$N$2:$N$209,V2,$P$2:$P$209,"Resale"))</calculatedColumnFormula>
    </tableColumn>
    <tableColumn id="25" xr3:uid="{4B2DD43A-4589-455C-AD54-3862B8AFBEDD}" name="LTR_INR_per_Sqft_Month" dataDxfId="8">
      <calculatedColumnFormula>IF(AND(P2="Long Term Rental",R2&gt;0),Q2/R2,"")</calculatedColumnFormula>
    </tableColumn>
    <tableColumn id="26" xr3:uid="{EAD486A9-8FFC-4080-BAD8-93F9D7723E34}" name="LTR N" dataDxfId="7">
      <calculatedColumnFormula>COUNTIFS($M$2:$M$209,U2,$P$2:$P$209,"Long Term Rental")</calculatedColumnFormula>
    </tableColumn>
    <tableColumn id="27" xr3:uid="{10847A46-53BA-4ADF-B870-E39C2A0BD808}" name="Median LTR INR/sqft/month" dataDxfId="6">
      <calculatedColumnFormula array="1">IF(Z2=0,"",MEDIAN(_xlfn._xlws.FILTER($Y$2:$Y$209,($M$2:$M$209=U2)*($N$2:$N$209=V2)*($P$2:$P$209="Long Term Rental")*($Y$2:$Y$209&lt;&gt;""),"")))</calculatedColumnFormula>
    </tableColumn>
    <tableColumn id="28" xr3:uid="{D0370700-FB26-42D5-AFEF-9BEB26A6F052}" name="Implied Gross Rental Yield %" dataDxfId="5">
      <calculatedColumnFormula>IF(AND(V2="Villa",X2&lt;&gt;"",AA2&lt;&gt;""),(AA2*12/X2)*100,"")</calculatedColumnFormula>
    </tableColumn>
    <tableColumn id="29" xr3:uid="{529A44D9-73F5-49DC-B3A7-57710B1DC503}" name="Median STR ADR" dataDxfId="4">
      <calculatedColumnFormula array="1">IFERROR(MEDIAN(_xlfn._xlws.FILTER($Q$2:$Q$209,($M$2:$M$209=U2)*($P$2:$P$209="Short Term Rental")*($Q$2:$Q$209&lt;&gt;""))),"")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A134-5D88-48B5-9C46-3EABF9F48BB7}">
  <dimension ref="A1:AC209"/>
  <sheetViews>
    <sheetView topLeftCell="T1" zoomScale="108" workbookViewId="0">
      <selection activeCell="X14" sqref="X14"/>
    </sheetView>
  </sheetViews>
  <sheetFormatPr defaultRowHeight="14.5" x14ac:dyDescent="0.35"/>
  <cols>
    <col min="1" max="1" width="10.81640625" customWidth="1"/>
    <col min="2" max="2" width="52.453125" customWidth="1"/>
    <col min="3" max="3" width="18.6328125" customWidth="1"/>
    <col min="4" max="4" width="18.453125" customWidth="1"/>
    <col min="5" max="5" width="18.7265625" customWidth="1"/>
    <col min="6" max="6" width="12.36328125" customWidth="1"/>
    <col min="7" max="7" width="11.1796875" customWidth="1"/>
    <col min="8" max="8" width="12.453125" customWidth="1"/>
    <col min="9" max="9" width="11.26953125" customWidth="1"/>
    <col min="10" max="10" width="16.453125" customWidth="1"/>
    <col min="11" max="11" width="14.08984375" customWidth="1"/>
    <col min="12" max="12" width="12.1796875" customWidth="1"/>
    <col min="13" max="13" width="15" customWidth="1"/>
    <col min="14" max="14" width="11.90625" customWidth="1"/>
    <col min="15" max="15" width="13" bestFit="1" customWidth="1"/>
    <col min="16" max="16" width="9.6328125" customWidth="1"/>
    <col min="17" max="17" width="9.90625" customWidth="1"/>
    <col min="18" max="18" width="9.81640625" customWidth="1"/>
    <col min="19" max="19" width="10.81640625" customWidth="1"/>
    <col min="21" max="21" width="16.08984375" customWidth="1"/>
    <col min="24" max="24" width="19.6328125" customWidth="1"/>
    <col min="28" max="28" width="16.26953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452</v>
      </c>
      <c r="N1" t="s">
        <v>453</v>
      </c>
      <c r="O1" t="s">
        <v>454</v>
      </c>
      <c r="P1" t="s">
        <v>455</v>
      </c>
      <c r="Q1" t="s">
        <v>456</v>
      </c>
      <c r="R1" t="s">
        <v>457</v>
      </c>
      <c r="S1" t="s">
        <v>504</v>
      </c>
      <c r="T1" t="s">
        <v>458</v>
      </c>
      <c r="U1" t="s">
        <v>462</v>
      </c>
      <c r="V1" t="s">
        <v>505</v>
      </c>
      <c r="W1" t="s">
        <v>513</v>
      </c>
      <c r="X1" t="s">
        <v>506</v>
      </c>
      <c r="Y1" t="s">
        <v>512</v>
      </c>
      <c r="Z1" t="s">
        <v>514</v>
      </c>
      <c r="AA1" t="s">
        <v>515</v>
      </c>
      <c r="AB1" t="s">
        <v>519</v>
      </c>
      <c r="AC1" t="s">
        <v>522</v>
      </c>
    </row>
    <row r="2" spans="1:29" ht="15" thickBot="1" x14ac:dyDescent="0.4">
      <c r="A2" s="1" t="s">
        <v>373</v>
      </c>
      <c r="B2" s="1" t="s">
        <v>179</v>
      </c>
      <c r="C2" s="1" t="s">
        <v>60</v>
      </c>
      <c r="D2" s="1" t="s">
        <v>131</v>
      </c>
      <c r="E2" s="1" t="s">
        <v>42</v>
      </c>
      <c r="F2" s="3">
        <v>3139</v>
      </c>
      <c r="G2" s="1" t="s">
        <v>30</v>
      </c>
      <c r="H2" s="3">
        <v>29.73</v>
      </c>
      <c r="I2" s="1" t="s">
        <v>36</v>
      </c>
      <c r="J2" s="1" t="s">
        <v>37</v>
      </c>
      <c r="K2" s="1" t="s">
        <v>19</v>
      </c>
      <c r="L2" s="1"/>
      <c r="M2" s="5" t="str">
        <f>_xlfn.XLOOKUP(TRIM(C2),MAPPING!A:A,MAPPING!B:B,"CHECK")</f>
        <v>Karjat Town</v>
      </c>
      <c r="N2" s="5" t="str">
        <f>_xlfn.XLOOKUP(D2,MAPPING!G:G,MAPPING!H:H,"CHECK")</f>
        <v>Plot</v>
      </c>
      <c r="O2" s="5" t="str">
        <f>_xlfn.XLOOKUP(E2,MAPPING!J:J,MAPPING!K:K,"CHECK")</f>
        <v>NA</v>
      </c>
      <c r="P2" s="5" t="str">
        <f>_xlfn.XLOOKUP(J2,MAPPING!M:M,MAPPING!N:N,"CHECK")</f>
        <v>Resale</v>
      </c>
      <c r="Q2" s="5">
        <f t="shared" ref="Q2:Q65" si="0">IF(I2="INR",H2,IF(I2="Lakh",H2*100000,IF(I2="Crore",H2*10000000,IF(I2="Thousand",H2*1000,""))))</f>
        <v>2973000</v>
      </c>
      <c r="R2" s="5">
        <f t="shared" ref="R2:R65" si="1">IF(G2="sqft",F2,IF(G2="sqyd",F2*9,IF(G2="acre",F2*43560,IF(G2="guntha",F2*1089,IF(G2="hectare",F2*107639.1,"")))))</f>
        <v>3139</v>
      </c>
      <c r="S2" s="5">
        <f t="shared" ref="S2:S65" si="2">IF(AND(P2="Resale",R2&gt;0),Q2/R2,"")</f>
        <v>947.11691621535522</v>
      </c>
      <c r="T2" s="5"/>
      <c r="U2" s="15" t="s">
        <v>40</v>
      </c>
      <c r="V2" s="15" t="s">
        <v>47</v>
      </c>
      <c r="W2" s="5">
        <f t="shared" ref="W2:W65" si="3">COUNTIFS($M$2:$M$209,U2,$N$2:$N$209,V2,$P$2:$P$209,"Resale")</f>
        <v>11</v>
      </c>
      <c r="X2" s="5" cm="1">
        <f t="array" ref="X2">IFERROR(MEDIAN(_xlfn._xlws.FILTER($S$2:$S$209,($M$2:$M$209=U2)*($N$2:$N$209=V2)*($P$2:$P$209="Resale")*($S$2:$S$209&lt;&gt;""))),"")</f>
        <v>4641.1940298507461</v>
      </c>
      <c r="Y2" s="5" t="str">
        <f>IF(AND(P2="Long Term Rental",R2&gt;0),Q2/R2,"")</f>
        <v/>
      </c>
      <c r="Z2" s="5">
        <f>COUNTIFS($M$2:$M$209,U2,$N$2:$N$209,V2,$P$2:$P$209,"Long Term Rental")</f>
        <v>8</v>
      </c>
      <c r="AA2" s="5" cm="1">
        <f t="array" ref="AA2">IF(Z2=0,"",MEDIAN(_xlfn._xlws.FILTER($Y$2:$Y$209,($M$2:$M$209=U2)*($N$2:$N$209=V2)*($P$2:$P$209="Long Term Rental")*($Y$2:$Y$209&lt;&gt;""),"")))</f>
        <v>14.651857881375006</v>
      </c>
      <c r="AB2" s="5">
        <f t="shared" ref="AB2:AB65" si="4">IF(AND(V2="Villa",X2&lt;&gt;"",AA2&lt;&gt;""),(AA2*12/X2)*100,"")</f>
        <v>3.7882987318708214</v>
      </c>
      <c r="AC2" s="5" cm="1">
        <f t="array" ref="AC2">IFERROR(MEDIAN(_xlfn._xlws.FILTER($Q$2:$Q$209,($M$2:$M$209=U2)*($P$2:$P$209="Short Term Rental")*($Q$2:$Q$209&lt;&gt;""))),"")</f>
        <v>5650</v>
      </c>
    </row>
    <row r="3" spans="1:29" ht="15" thickBot="1" x14ac:dyDescent="0.4">
      <c r="A3" s="1" t="s">
        <v>257</v>
      </c>
      <c r="B3" s="1" t="s">
        <v>258</v>
      </c>
      <c r="C3" s="1" t="s">
        <v>91</v>
      </c>
      <c r="D3" s="1" t="s">
        <v>15</v>
      </c>
      <c r="E3" s="1" t="s">
        <v>29</v>
      </c>
      <c r="F3" s="3">
        <v>2495</v>
      </c>
      <c r="G3" s="1" t="s">
        <v>30</v>
      </c>
      <c r="H3" s="1"/>
      <c r="I3" s="1" t="s">
        <v>64</v>
      </c>
      <c r="J3" s="1" t="s">
        <v>37</v>
      </c>
      <c r="K3" s="1" t="s">
        <v>53</v>
      </c>
      <c r="L3" s="1"/>
      <c r="M3" s="5" t="str">
        <f>_xlfn.XLOOKUP(TRIM(C3),MAPPING!A:A,MAPPING!B:B,"CHECK")</f>
        <v>Karjat Town</v>
      </c>
      <c r="N3" s="5" t="str">
        <f>_xlfn.XLOOKUP(D3,MAPPING!G:G,MAPPING!H:H,"CHECK")</f>
        <v>Villa</v>
      </c>
      <c r="O3" s="5" t="str">
        <f>_xlfn.XLOOKUP(E3,MAPPING!J:J,MAPPING!K:K,"CHECK")</f>
        <v>4 BHK</v>
      </c>
      <c r="P3" s="5" t="str">
        <f>_xlfn.XLOOKUP(J3,MAPPING!M:M,MAPPING!N:N,"CHECK")</f>
        <v>Resale</v>
      </c>
      <c r="Q3" s="5">
        <f t="shared" si="0"/>
        <v>0</v>
      </c>
      <c r="R3" s="5">
        <f t="shared" si="1"/>
        <v>2495</v>
      </c>
      <c r="S3" s="5">
        <f t="shared" si="2"/>
        <v>0</v>
      </c>
      <c r="T3" s="5"/>
      <c r="U3" s="16" t="s">
        <v>40</v>
      </c>
      <c r="V3" s="16" t="s">
        <v>63</v>
      </c>
      <c r="W3" s="5">
        <f t="shared" si="3"/>
        <v>8</v>
      </c>
      <c r="X3" s="5" cm="1">
        <f t="array" ref="X3">IFERROR(MEDIAN(_xlfn._xlws.FILTER($S$2:$S$209,($M$2:$M$209=U3)*($N$2:$N$209=V3)*($P$2:$P$209="Resale")*($S$2:$S$209&lt;&gt;""))),"")</f>
        <v>947.11691621535522</v>
      </c>
      <c r="Y3" s="5" t="str">
        <f t="shared" ref="Y3:Y65" si="5">IF(AND(P3="Long Term Rental",R3&gt;0),Q3/R3,"")</f>
        <v/>
      </c>
      <c r="Z3" s="5">
        <f t="shared" ref="Z3:Z16" si="6">COUNTIFS($M$2:$M$209,U3,$N$2:$N$209,V3,$P$2:$P$209,"Long Term Rental")</f>
        <v>0</v>
      </c>
      <c r="AA3" s="5" t="str" cm="1">
        <f t="array" ref="AA3">IF(Z3=0,"",MEDIAN(_xlfn._xlws.FILTER($Y$2:$Y$209,($M$2:$M$209=U3)*($N$2:$N$209=V3)*($P$2:$P$209="Long Term Rental")*($Y$2:$Y$209&lt;&gt;""),"")))</f>
        <v/>
      </c>
      <c r="AB3" s="5" t="str">
        <f t="shared" si="4"/>
        <v/>
      </c>
      <c r="AC3" s="5" cm="1">
        <f t="array" ref="AC3">IFERROR(MEDIAN(_xlfn._xlws.FILTER($Q$2:$Q$209,($M$2:$M$209=U3)*($P$2:$P$209="Short Term Rental")*($Q$2:$Q$209&lt;&gt;""))),"")</f>
        <v>5650</v>
      </c>
    </row>
    <row r="4" spans="1:29" ht="15" thickBot="1" x14ac:dyDescent="0.4">
      <c r="A4" s="1" t="s">
        <v>122</v>
      </c>
      <c r="B4" s="1" t="s">
        <v>123</v>
      </c>
      <c r="C4" s="1" t="s">
        <v>99</v>
      </c>
      <c r="D4" s="1" t="s">
        <v>63</v>
      </c>
      <c r="E4" s="1" t="s">
        <v>42</v>
      </c>
      <c r="F4" s="3">
        <v>1.17</v>
      </c>
      <c r="G4" s="1" t="s">
        <v>85</v>
      </c>
      <c r="H4" s="3">
        <v>4.18</v>
      </c>
      <c r="I4" s="1" t="s">
        <v>64</v>
      </c>
      <c r="J4" s="1" t="s">
        <v>37</v>
      </c>
      <c r="K4" s="1" t="s">
        <v>124</v>
      </c>
      <c r="L4" s="1"/>
      <c r="M4" s="5" t="str">
        <f>_xlfn.XLOOKUP(TRIM(C4),MAPPING!A:A,MAPPING!B:B,"CHECK")</f>
        <v>Karjat Town</v>
      </c>
      <c r="N4" s="5" t="str">
        <f>_xlfn.XLOOKUP(D4,MAPPING!G:G,MAPPING!H:H,"CHECK")</f>
        <v>Plot</v>
      </c>
      <c r="O4" s="5" t="str">
        <f>_xlfn.XLOOKUP(E4,MAPPING!J:J,MAPPING!K:K,"CHECK")</f>
        <v>NA</v>
      </c>
      <c r="P4" s="5" t="str">
        <f>_xlfn.XLOOKUP(J4,MAPPING!M:M,MAPPING!N:N,"CHECK")</f>
        <v>Resale</v>
      </c>
      <c r="Q4" s="5">
        <f t="shared" si="0"/>
        <v>41800000</v>
      </c>
      <c r="R4" s="5">
        <f t="shared" si="1"/>
        <v>50965.2</v>
      </c>
      <c r="S4" s="5">
        <f t="shared" si="2"/>
        <v>820.16748683415358</v>
      </c>
      <c r="T4" s="5"/>
      <c r="U4" s="16" t="s">
        <v>40</v>
      </c>
      <c r="V4" s="16" t="s">
        <v>466</v>
      </c>
      <c r="W4" s="5">
        <f t="shared" si="3"/>
        <v>5</v>
      </c>
      <c r="X4" s="5" cm="1">
        <f t="array" ref="X4">IFERROR(MEDIAN(_xlfn._xlws.FILTER($S$2:$S$209,($M$2:$M$209=U4)*($N$2:$N$209=V4)*($P$2:$P$209="Resale")*($S$2:$S$209&lt;&gt;""))),"")</f>
        <v>148.72040563740171</v>
      </c>
      <c r="Y4" s="5" t="str">
        <f t="shared" si="5"/>
        <v/>
      </c>
      <c r="Z4" s="5">
        <f t="shared" si="6"/>
        <v>0</v>
      </c>
      <c r="AA4" s="5" t="str" cm="1">
        <f t="array" ref="AA4">IF(Z4=0,"",MEDIAN(_xlfn._xlws.FILTER($Y$2:$Y$209,($M$2:$M$209=U4)*($N$2:$N$209=V4)*($P$2:$P$209="Long Term Rental")*($Y$2:$Y$209&lt;&gt;""),"")))</f>
        <v/>
      </c>
      <c r="AB4" s="5" t="str">
        <f t="shared" si="4"/>
        <v/>
      </c>
      <c r="AC4" s="5" cm="1">
        <f t="array" ref="AC4">IFERROR(MEDIAN(_xlfn._xlws.FILTER($Q$2:$Q$209,($M$2:$M$209=U4)*($P$2:$P$209="Short Term Rental")*($Q$2:$Q$209&lt;&gt;""))),"")</f>
        <v>5650</v>
      </c>
    </row>
    <row r="5" spans="1:29" ht="15" thickBot="1" x14ac:dyDescent="0.4">
      <c r="A5" s="1" t="s">
        <v>235</v>
      </c>
      <c r="B5" s="1" t="s">
        <v>39</v>
      </c>
      <c r="C5" s="1" t="s">
        <v>40</v>
      </c>
      <c r="D5" s="1" t="s">
        <v>41</v>
      </c>
      <c r="E5" s="1" t="s">
        <v>42</v>
      </c>
      <c r="F5" s="3">
        <v>5.2</v>
      </c>
      <c r="G5" s="1" t="s">
        <v>43</v>
      </c>
      <c r="H5" s="3">
        <v>55.77</v>
      </c>
      <c r="I5" s="1" t="s">
        <v>36</v>
      </c>
      <c r="J5" s="1" t="s">
        <v>37</v>
      </c>
      <c r="K5" s="1" t="s">
        <v>19</v>
      </c>
      <c r="L5" s="1"/>
      <c r="M5" s="5" t="str">
        <f>_xlfn.XLOOKUP(TRIM(C5),MAPPING!A:A,MAPPING!B:B,"CHECK")</f>
        <v>Karjat Town</v>
      </c>
      <c r="N5" s="5" t="str">
        <f>_xlfn.XLOOKUP(D5,MAPPING!G:G,MAPPING!H:H,"CHECK")</f>
        <v>Plot</v>
      </c>
      <c r="O5" s="5" t="str">
        <f>_xlfn.XLOOKUP(E5,MAPPING!J:J,MAPPING!K:K,"CHECK")</f>
        <v>NA</v>
      </c>
      <c r="P5" s="5" t="str">
        <f>_xlfn.XLOOKUP(J5,MAPPING!M:M,MAPPING!N:N,"CHECK")</f>
        <v>Resale</v>
      </c>
      <c r="Q5" s="5">
        <f t="shared" si="0"/>
        <v>5577000</v>
      </c>
      <c r="R5" s="5">
        <f t="shared" si="1"/>
        <v>5662.8</v>
      </c>
      <c r="S5" s="5">
        <f t="shared" si="2"/>
        <v>984.84848484848487</v>
      </c>
      <c r="T5" s="5"/>
      <c r="U5" s="16" t="s">
        <v>56</v>
      </c>
      <c r="V5" s="16" t="s">
        <v>47</v>
      </c>
      <c r="W5" s="5">
        <f t="shared" si="3"/>
        <v>15</v>
      </c>
      <c r="X5" s="5" cm="1">
        <f t="array" ref="X5">IFERROR(MEDIAN(_xlfn._xlws.FILTER($S$2:$S$209,($M$2:$M$209=U5)*($N$2:$N$209=V5)*($P$2:$P$209="Resale")*($S$2:$S$209&lt;&gt;""))),"")</f>
        <v>3642.7758816837322</v>
      </c>
      <c r="Y5" s="5" t="str">
        <f t="shared" si="5"/>
        <v/>
      </c>
      <c r="Z5" s="5">
        <f t="shared" si="6"/>
        <v>9</v>
      </c>
      <c r="AA5" s="5" cm="1">
        <f t="array" ref="AA5">IF(Z5=0,"",MEDIAN(_xlfn._xlws.FILTER($Y$2:$Y$209,($M$2:$M$209=U5)*($N$2:$N$209=V5)*($P$2:$P$209="Long Term Rental")*($Y$2:$Y$209&lt;&gt;""),"")))</f>
        <v>12.890874282067646</v>
      </c>
      <c r="AB5" s="5">
        <f t="shared" si="4"/>
        <v>4.2465003724937391</v>
      </c>
      <c r="AC5" s="5" cm="1">
        <f t="array" ref="AC5">IFERROR(MEDIAN(_xlfn._xlws.FILTER($Q$2:$Q$209,($M$2:$M$209=U5)*($P$2:$P$209="Short Term Rental")*($Q$2:$Q$209&lt;&gt;""))),"")</f>
        <v>5000</v>
      </c>
    </row>
    <row r="6" spans="1:29" ht="15" thickBot="1" x14ac:dyDescent="0.4">
      <c r="A6" s="1" t="s">
        <v>356</v>
      </c>
      <c r="B6" s="1" t="s">
        <v>357</v>
      </c>
      <c r="C6" s="1" t="s">
        <v>185</v>
      </c>
      <c r="D6" s="1" t="s">
        <v>166</v>
      </c>
      <c r="E6" s="1" t="s">
        <v>42</v>
      </c>
      <c r="F6" s="3">
        <v>2.2999999999999998</v>
      </c>
      <c r="G6" s="1" t="s">
        <v>85</v>
      </c>
      <c r="H6" s="3">
        <v>1.49</v>
      </c>
      <c r="I6" s="1" t="s">
        <v>64</v>
      </c>
      <c r="J6" s="1" t="s">
        <v>37</v>
      </c>
      <c r="K6" s="1" t="s">
        <v>19</v>
      </c>
      <c r="L6" s="1"/>
      <c r="M6" s="5" t="str">
        <f>_xlfn.XLOOKUP(TRIM(C6),MAPPING!A:A,MAPPING!B:B,"CHECK")</f>
        <v>Karjat Town</v>
      </c>
      <c r="N6" s="5" t="str">
        <f>_xlfn.XLOOKUP(D6,MAPPING!G:G,MAPPING!H:H,"CHECK")</f>
        <v>Farmland</v>
      </c>
      <c r="O6" s="5" t="str">
        <f>_xlfn.XLOOKUP(E6,MAPPING!J:J,MAPPING!K:K,"CHECK")</f>
        <v>NA</v>
      </c>
      <c r="P6" s="5" t="str">
        <f>_xlfn.XLOOKUP(J6,MAPPING!M:M,MAPPING!N:N,"CHECK")</f>
        <v>Resale</v>
      </c>
      <c r="Q6" s="5">
        <f t="shared" si="0"/>
        <v>14900000</v>
      </c>
      <c r="R6" s="5">
        <f t="shared" si="1"/>
        <v>100187.99999999999</v>
      </c>
      <c r="S6" s="5">
        <f t="shared" si="2"/>
        <v>148.72040563740171</v>
      </c>
      <c r="T6" s="5"/>
      <c r="U6" s="16" t="s">
        <v>56</v>
      </c>
      <c r="V6" s="16" t="s">
        <v>63</v>
      </c>
      <c r="W6" s="5">
        <f t="shared" si="3"/>
        <v>5</v>
      </c>
      <c r="X6" s="5" cm="1">
        <f t="array" ref="X6">IFERROR(MEDIAN(_xlfn._xlws.FILTER($S$2:$S$209,($M$2:$M$209=U6)*($N$2:$N$209=V6)*($P$2:$P$209="Resale")*($S$2:$S$209&lt;&gt;""))),"")</f>
        <v>861.89984512132162</v>
      </c>
      <c r="Y6" s="5" t="str">
        <f t="shared" si="5"/>
        <v/>
      </c>
      <c r="Z6" s="5">
        <f t="shared" si="6"/>
        <v>0</v>
      </c>
      <c r="AA6" s="5" t="str" cm="1">
        <f t="array" ref="AA6">IF(Z6=0,"",MEDIAN(_xlfn._xlws.FILTER($Y$2:$Y$209,($M$2:$M$209=U6)*($N$2:$N$209=V6)*($P$2:$P$209="Long Term Rental")*($Y$2:$Y$209&lt;&gt;""),"")))</f>
        <v/>
      </c>
      <c r="AB6" s="5" t="str">
        <f t="shared" si="4"/>
        <v/>
      </c>
      <c r="AC6" s="5" cm="1">
        <f t="array" ref="AC6">IFERROR(MEDIAN(_xlfn._xlws.FILTER($Q$2:$Q$209,($M$2:$M$209=U6)*($P$2:$P$209="Short Term Rental")*($Q$2:$Q$209&lt;&gt;""))),"")</f>
        <v>5000</v>
      </c>
    </row>
    <row r="7" spans="1:29" ht="15" thickBot="1" x14ac:dyDescent="0.4">
      <c r="A7" s="1" t="s">
        <v>444</v>
      </c>
      <c r="B7" s="1" t="s">
        <v>445</v>
      </c>
      <c r="C7" s="1" t="s">
        <v>91</v>
      </c>
      <c r="D7" s="2" t="s">
        <v>67</v>
      </c>
      <c r="E7" s="1" t="s">
        <v>48</v>
      </c>
      <c r="F7" s="3">
        <v>901</v>
      </c>
      <c r="G7" s="1" t="s">
        <v>30</v>
      </c>
      <c r="H7" s="3">
        <v>43.87</v>
      </c>
      <c r="I7" s="1" t="s">
        <v>36</v>
      </c>
      <c r="J7" s="1" t="s">
        <v>37</v>
      </c>
      <c r="K7" s="1" t="s">
        <v>19</v>
      </c>
      <c r="L7" s="1"/>
      <c r="M7" s="5" t="str">
        <f>_xlfn.XLOOKUP(TRIM(C7),MAPPING!A:A,MAPPING!B:B,"CHECK")</f>
        <v>Karjat Town</v>
      </c>
      <c r="N7" s="5" t="str">
        <f>_xlfn.XLOOKUP(D7,MAPPING!G:G,MAPPING!H:H,"CHECK")</f>
        <v>Villa</v>
      </c>
      <c r="O7" s="5" t="str">
        <f>_xlfn.XLOOKUP(E7,MAPPING!J:J,MAPPING!K:K,"CHECK")</f>
        <v>2 BHK</v>
      </c>
      <c r="P7" s="5" t="str">
        <f>_xlfn.XLOOKUP(J7,MAPPING!M:M,MAPPING!N:N,"CHECK")</f>
        <v>Resale</v>
      </c>
      <c r="Q7" s="5">
        <f t="shared" si="0"/>
        <v>4387000</v>
      </c>
      <c r="R7" s="5">
        <f t="shared" si="1"/>
        <v>901</v>
      </c>
      <c r="S7" s="5">
        <f t="shared" si="2"/>
        <v>4869.0344062153163</v>
      </c>
      <c r="T7" s="5"/>
      <c r="U7" s="16" t="s">
        <v>56</v>
      </c>
      <c r="V7" s="16" t="s">
        <v>466</v>
      </c>
      <c r="W7" s="5">
        <f t="shared" si="3"/>
        <v>5</v>
      </c>
      <c r="X7" s="5" cm="1">
        <f t="array" ref="X7">IFERROR(MEDIAN(_xlfn._xlws.FILTER($S$2:$S$209,($M$2:$M$209=U7)*($N$2:$N$209=V7)*($P$2:$P$209="Resale")*($S$2:$S$209&lt;&gt;""))),"")</f>
        <v>152.7021881789066</v>
      </c>
      <c r="Y7" s="5" t="str">
        <f t="shared" si="5"/>
        <v/>
      </c>
      <c r="Z7" s="5">
        <f t="shared" si="6"/>
        <v>0</v>
      </c>
      <c r="AA7" s="5" t="str" cm="1">
        <f t="array" ref="AA7">IF(Z7=0,"",MEDIAN(_xlfn._xlws.FILTER($Y$2:$Y$209,($M$2:$M$209=U7)*($N$2:$N$209=V7)*($P$2:$P$209="Long Term Rental")*($Y$2:$Y$209&lt;&gt;""),"")))</f>
        <v/>
      </c>
      <c r="AB7" s="5" t="str">
        <f t="shared" si="4"/>
        <v/>
      </c>
      <c r="AC7" s="5" cm="1">
        <f t="array" ref="AC7">IFERROR(MEDIAN(_xlfn._xlws.FILTER($Q$2:$Q$209,($M$2:$M$209=U7)*($P$2:$P$209="Short Term Rental")*($Q$2:$Q$209&lt;&gt;""))),"")</f>
        <v>5000</v>
      </c>
    </row>
    <row r="8" spans="1:29" ht="15" thickBot="1" x14ac:dyDescent="0.4">
      <c r="A8" s="1" t="s">
        <v>350</v>
      </c>
      <c r="B8" s="1" t="s">
        <v>351</v>
      </c>
      <c r="C8" s="1" t="s">
        <v>40</v>
      </c>
      <c r="D8" s="1" t="s">
        <v>24</v>
      </c>
      <c r="E8" s="1" t="s">
        <v>71</v>
      </c>
      <c r="F8" s="3">
        <v>1675</v>
      </c>
      <c r="G8" s="1" t="s">
        <v>30</v>
      </c>
      <c r="H8" s="3">
        <v>77.739999999999995</v>
      </c>
      <c r="I8" s="1" t="s">
        <v>36</v>
      </c>
      <c r="J8" s="1" t="s">
        <v>37</v>
      </c>
      <c r="K8" s="1" t="s">
        <v>19</v>
      </c>
      <c r="L8" s="1"/>
      <c r="M8" s="5" t="str">
        <f>_xlfn.XLOOKUP(TRIM(C8),MAPPING!A:A,MAPPING!B:B,"CHECK")</f>
        <v>Karjat Town</v>
      </c>
      <c r="N8" s="5" t="str">
        <f>_xlfn.XLOOKUP(D8,MAPPING!G:G,MAPPING!H:H,"CHECK")</f>
        <v>Villa</v>
      </c>
      <c r="O8" s="5" t="str">
        <f>_xlfn.XLOOKUP(E8,MAPPING!J:J,MAPPING!K:K,"CHECK")</f>
        <v>2 BHK</v>
      </c>
      <c r="P8" s="5" t="str">
        <f>_xlfn.XLOOKUP(J8,MAPPING!M:M,MAPPING!N:N,"CHECK")</f>
        <v>Resale</v>
      </c>
      <c r="Q8" s="5">
        <f t="shared" si="0"/>
        <v>7773999.9999999991</v>
      </c>
      <c r="R8" s="5">
        <f t="shared" si="1"/>
        <v>1675</v>
      </c>
      <c r="S8" s="5">
        <f t="shared" si="2"/>
        <v>4641.1940298507461</v>
      </c>
      <c r="T8" s="5"/>
      <c r="U8" s="16" t="s">
        <v>33</v>
      </c>
      <c r="V8" s="16" t="s">
        <v>47</v>
      </c>
      <c r="W8" s="5">
        <f t="shared" si="3"/>
        <v>13</v>
      </c>
      <c r="X8" s="5" cm="1">
        <f t="array" ref="X8">IFERROR(MEDIAN(_xlfn._xlws.FILTER($S$2:$S$209,($M$2:$M$209=U8)*($N$2:$N$209=V8)*($P$2:$P$209="Resale")*($S$2:$S$209&lt;&gt;""))),"")</f>
        <v>3679.2141482687048</v>
      </c>
      <c r="Y8" s="5" t="str">
        <f t="shared" si="5"/>
        <v/>
      </c>
      <c r="Z8" s="5">
        <f t="shared" si="6"/>
        <v>9</v>
      </c>
      <c r="AA8" s="5" cm="1">
        <f t="array" ref="AA8">IF(Z8=0,"",MEDIAN(_xlfn._xlws.FILTER($Y$2:$Y$209,($M$2:$M$209=U8)*($N$2:$N$209=V8)*($P$2:$P$209="Long Term Rental")*($Y$2:$Y$209&lt;&gt;""),"")))</f>
        <v>12.094861660079051</v>
      </c>
      <c r="AB8" s="5">
        <f t="shared" si="4"/>
        <v>3.9448190312391871</v>
      </c>
      <c r="AC8" s="5" cm="1">
        <f t="array" ref="AC8">IFERROR(MEDIAN(_xlfn._xlws.FILTER($Q$2:$Q$209,($M$2:$M$209=U8)*($P$2:$P$209="Short Term Rental")*($Q$2:$Q$209&lt;&gt;""))),"")</f>
        <v>4700</v>
      </c>
    </row>
    <row r="9" spans="1:29" ht="15" thickBot="1" x14ac:dyDescent="0.4">
      <c r="A9" s="1" t="s">
        <v>153</v>
      </c>
      <c r="B9" s="1" t="s">
        <v>154</v>
      </c>
      <c r="C9" s="1" t="s">
        <v>40</v>
      </c>
      <c r="D9" s="1" t="s">
        <v>155</v>
      </c>
      <c r="E9" s="1" t="s">
        <v>42</v>
      </c>
      <c r="F9" s="3">
        <v>0.71</v>
      </c>
      <c r="G9" s="1" t="s">
        <v>85</v>
      </c>
      <c r="H9" s="3">
        <v>51.74</v>
      </c>
      <c r="I9" s="1" t="s">
        <v>36</v>
      </c>
      <c r="J9" s="1" t="s">
        <v>37</v>
      </c>
      <c r="K9" s="1" t="s">
        <v>19</v>
      </c>
      <c r="L9" s="1"/>
      <c r="M9" s="5" t="str">
        <f>_xlfn.XLOOKUP(TRIM(C9),MAPPING!A:A,MAPPING!B:B,"CHECK")</f>
        <v>Karjat Town</v>
      </c>
      <c r="N9" s="5" t="str">
        <f>_xlfn.XLOOKUP(D9,MAPPING!G:G,MAPPING!H:H,"CHECK")</f>
        <v>Farmland</v>
      </c>
      <c r="O9" s="5" t="str">
        <f>_xlfn.XLOOKUP(E9,MAPPING!J:J,MAPPING!K:K,"CHECK")</f>
        <v>NA</v>
      </c>
      <c r="P9" s="5" t="str">
        <f>_xlfn.XLOOKUP(J9,MAPPING!M:M,MAPPING!N:N,"CHECK")</f>
        <v>Resale</v>
      </c>
      <c r="Q9" s="5">
        <f t="shared" si="0"/>
        <v>5174000</v>
      </c>
      <c r="R9" s="5">
        <f t="shared" si="1"/>
        <v>30927.599999999999</v>
      </c>
      <c r="S9" s="5">
        <f t="shared" si="2"/>
        <v>167.29393810059625</v>
      </c>
      <c r="T9" s="5"/>
      <c r="U9" s="16" t="s">
        <v>33</v>
      </c>
      <c r="V9" s="16" t="s">
        <v>63</v>
      </c>
      <c r="W9" s="5">
        <f t="shared" si="3"/>
        <v>9</v>
      </c>
      <c r="X9" s="5" cm="1">
        <f t="array" ref="X9">IFERROR(MEDIAN(_xlfn._xlws.FILTER($S$2:$S$209,($M$2:$M$209=U9)*($N$2:$N$209=V9)*($P$2:$P$209="Resale")*($S$2:$S$209&lt;&gt;""))),"")</f>
        <v>796.62616463921188</v>
      </c>
      <c r="Y9" s="5" t="str">
        <f t="shared" si="5"/>
        <v/>
      </c>
      <c r="Z9" s="5">
        <f t="shared" si="6"/>
        <v>0</v>
      </c>
      <c r="AA9" s="5" t="str" cm="1">
        <f t="array" ref="AA9">IF(Z9=0,"",MEDIAN(_xlfn._xlws.FILTER($Y$2:$Y$209,($M$2:$M$209=U9)*($N$2:$N$209=V9)*($P$2:$P$209="Long Term Rental")*($Y$2:$Y$209&lt;&gt;""),"")))</f>
        <v/>
      </c>
      <c r="AB9" s="5" t="str">
        <f t="shared" si="4"/>
        <v/>
      </c>
      <c r="AC9" s="5" cm="1">
        <f t="array" ref="AC9">IFERROR(MEDIAN(_xlfn._xlws.FILTER($Q$2:$Q$209,($M$2:$M$209=U9)*($P$2:$P$209="Short Term Rental")*($Q$2:$Q$209&lt;&gt;""))),"")</f>
        <v>4700</v>
      </c>
    </row>
    <row r="10" spans="1:29" ht="15" thickBot="1" x14ac:dyDescent="0.4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3">
        <v>9.1</v>
      </c>
      <c r="G10" s="1" t="s">
        <v>43</v>
      </c>
      <c r="H10" s="3">
        <v>91.38</v>
      </c>
      <c r="I10" s="1" t="s">
        <v>36</v>
      </c>
      <c r="J10" s="1" t="s">
        <v>37</v>
      </c>
      <c r="K10" s="1" t="s">
        <v>19</v>
      </c>
      <c r="L10" s="1"/>
      <c r="M10" s="5" t="str">
        <f>_xlfn.XLOOKUP(TRIM(C10),MAPPING!A:A,MAPPING!B:B,"CHECK")</f>
        <v>Karjat Town</v>
      </c>
      <c r="N10" s="5" t="str">
        <f>_xlfn.XLOOKUP(D10,MAPPING!G:G,MAPPING!H:H,"CHECK")</f>
        <v>Plot</v>
      </c>
      <c r="O10" s="5" t="str">
        <f>_xlfn.XLOOKUP(E10,MAPPING!J:J,MAPPING!K:K,"CHECK")</f>
        <v>NA</v>
      </c>
      <c r="P10" s="5" t="str">
        <f>_xlfn.XLOOKUP(J10,MAPPING!M:M,MAPPING!N:N,"CHECK")</f>
        <v>Resale</v>
      </c>
      <c r="Q10" s="5">
        <f t="shared" si="0"/>
        <v>9138000</v>
      </c>
      <c r="R10" s="5">
        <f t="shared" si="1"/>
        <v>9909.9</v>
      </c>
      <c r="S10" s="5">
        <f t="shared" si="2"/>
        <v>922.10819483546754</v>
      </c>
      <c r="T10" s="5"/>
      <c r="U10" s="16" t="s">
        <v>33</v>
      </c>
      <c r="V10" s="16" t="s">
        <v>466</v>
      </c>
      <c r="W10" s="5">
        <f t="shared" si="3"/>
        <v>5</v>
      </c>
      <c r="X10" s="5" cm="1">
        <f t="array" ref="X10">IFERROR(MEDIAN(_xlfn._xlws.FILTER($S$2:$S$209,($M$2:$M$209=U10)*($N$2:$N$209=V10)*($P$2:$P$209="Resale")*($S$2:$S$209&lt;&gt;""))),"")</f>
        <v>126.86675366101204</v>
      </c>
      <c r="Y10" s="5" t="str">
        <f t="shared" si="5"/>
        <v/>
      </c>
      <c r="Z10" s="5">
        <f t="shared" si="6"/>
        <v>0</v>
      </c>
      <c r="AA10" s="5" t="str" cm="1">
        <f t="array" ref="AA10">IF(Z10=0,"",MEDIAN(_xlfn._xlws.FILTER($Y$2:$Y$209,($M$2:$M$209=U10)*($N$2:$N$209=V10)*($P$2:$P$209="Long Term Rental")*($Y$2:$Y$209&lt;&gt;""),"")))</f>
        <v/>
      </c>
      <c r="AB10" s="5" t="str">
        <f t="shared" si="4"/>
        <v/>
      </c>
      <c r="AC10" s="5" cm="1">
        <f t="array" ref="AC10">IFERROR(MEDIAN(_xlfn._xlws.FILTER($Q$2:$Q$209,($M$2:$M$209=U10)*($P$2:$P$209="Short Term Rental")*($Q$2:$Q$209&lt;&gt;""))),"")</f>
        <v>4700</v>
      </c>
    </row>
    <row r="11" spans="1:29" ht="15" thickBot="1" x14ac:dyDescent="0.4">
      <c r="A11" s="1" t="s">
        <v>78</v>
      </c>
      <c r="B11" s="1" t="s">
        <v>79</v>
      </c>
      <c r="C11" s="1" t="s">
        <v>40</v>
      </c>
      <c r="D11" s="1" t="s">
        <v>15</v>
      </c>
      <c r="E11" s="1" t="s">
        <v>25</v>
      </c>
      <c r="F11" s="3">
        <v>2285</v>
      </c>
      <c r="G11" s="1" t="s">
        <v>30</v>
      </c>
      <c r="H11" s="3">
        <v>1.1599999999999999</v>
      </c>
      <c r="I11" s="1" t="s">
        <v>64</v>
      </c>
      <c r="J11" s="1" t="s">
        <v>37</v>
      </c>
      <c r="K11" s="1" t="s">
        <v>53</v>
      </c>
      <c r="L11" s="1"/>
      <c r="M11" s="5" t="str">
        <f>_xlfn.XLOOKUP(TRIM(C11),MAPPING!A:A,MAPPING!B:B,"CHECK")</f>
        <v>Karjat Town</v>
      </c>
      <c r="N11" s="5" t="str">
        <f>_xlfn.XLOOKUP(D11,MAPPING!G:G,MAPPING!H:H,"CHECK")</f>
        <v>Villa</v>
      </c>
      <c r="O11" s="5" t="str">
        <f>_xlfn.XLOOKUP(E11,MAPPING!J:J,MAPPING!K:K,"CHECK")</f>
        <v>3 BHK</v>
      </c>
      <c r="P11" s="5" t="str">
        <f>_xlfn.XLOOKUP(J11,MAPPING!M:M,MAPPING!N:N,"CHECK")</f>
        <v>Resale</v>
      </c>
      <c r="Q11" s="5">
        <f t="shared" si="0"/>
        <v>11600000</v>
      </c>
      <c r="R11" s="5">
        <f t="shared" si="1"/>
        <v>2285</v>
      </c>
      <c r="S11" s="5">
        <f t="shared" si="2"/>
        <v>5076.5864332603942</v>
      </c>
      <c r="T11" s="5"/>
      <c r="U11" s="16" t="s">
        <v>77</v>
      </c>
      <c r="V11" s="16" t="s">
        <v>47</v>
      </c>
      <c r="W11" s="5">
        <f t="shared" si="3"/>
        <v>6</v>
      </c>
      <c r="X11" s="5" cm="1">
        <f t="array" ref="X11">IFERROR(MEDIAN(_xlfn._xlws.FILTER($S$2:$S$209,($M$2:$M$209=U11)*($N$2:$N$209=V11)*($P$2:$P$209="Resale")*($S$2:$S$209&lt;&gt;""))),"")</f>
        <v>3150.9381243600346</v>
      </c>
      <c r="Y11" s="5" t="str">
        <f t="shared" si="5"/>
        <v/>
      </c>
      <c r="Z11" s="5">
        <f t="shared" si="6"/>
        <v>9</v>
      </c>
      <c r="AA11" s="5" cm="1">
        <f t="array" ref="AA11">IF(Z11=0,"",MEDIAN(_xlfn._xlws.FILTER($Y$2:$Y$209,($M$2:$M$209=U11)*($N$2:$N$209=V11)*($P$2:$P$209="Long Term Rental")*($Y$2:$Y$209&lt;&gt;""),"")))</f>
        <v>11.477362986497219</v>
      </c>
      <c r="AB11" s="5">
        <f t="shared" si="4"/>
        <v>4.3710269894918889</v>
      </c>
      <c r="AC11" s="5" cm="1">
        <f t="array" ref="AC11">IFERROR(MEDIAN(_xlfn._xlws.FILTER($Q$2:$Q$209,($M$2:$M$209=U11)*($P$2:$P$209="Short Term Rental")*($Q$2:$Q$209&lt;&gt;""))),"")</f>
        <v>6300</v>
      </c>
    </row>
    <row r="12" spans="1:29" ht="15" thickBot="1" x14ac:dyDescent="0.4">
      <c r="A12" s="1" t="s">
        <v>216</v>
      </c>
      <c r="B12" s="1" t="s">
        <v>217</v>
      </c>
      <c r="C12" s="1" t="s">
        <v>185</v>
      </c>
      <c r="D12" s="1" t="s">
        <v>41</v>
      </c>
      <c r="E12" s="1" t="s">
        <v>42</v>
      </c>
      <c r="F12" s="1"/>
      <c r="G12" s="1" t="s">
        <v>43</v>
      </c>
      <c r="H12" s="3">
        <v>85.96</v>
      </c>
      <c r="I12" s="1" t="s">
        <v>36</v>
      </c>
      <c r="J12" s="1" t="s">
        <v>37</v>
      </c>
      <c r="K12" s="1" t="s">
        <v>19</v>
      </c>
      <c r="L12" s="1"/>
      <c r="M12" s="5" t="str">
        <f>_xlfn.XLOOKUP(TRIM(C12),MAPPING!A:A,MAPPING!B:B,"CHECK")</f>
        <v>Karjat Town</v>
      </c>
      <c r="N12" s="5" t="str">
        <f>_xlfn.XLOOKUP(D12,MAPPING!G:G,MAPPING!H:H,"CHECK")</f>
        <v>Plot</v>
      </c>
      <c r="O12" s="5" t="str">
        <f>_xlfn.XLOOKUP(E12,MAPPING!J:J,MAPPING!K:K,"CHECK")</f>
        <v>NA</v>
      </c>
      <c r="P12" s="5" t="str">
        <f>_xlfn.XLOOKUP(J12,MAPPING!M:M,MAPPING!N:N,"CHECK")</f>
        <v>Resale</v>
      </c>
      <c r="Q12" s="5">
        <f t="shared" si="0"/>
        <v>8596000</v>
      </c>
      <c r="R12" s="5">
        <f t="shared" si="1"/>
        <v>0</v>
      </c>
      <c r="S12" s="5" t="str">
        <f t="shared" si="2"/>
        <v/>
      </c>
      <c r="T12" s="5"/>
      <c r="U12" s="16" t="s">
        <v>77</v>
      </c>
      <c r="V12" s="16" t="s">
        <v>63</v>
      </c>
      <c r="W12" s="5">
        <f t="shared" si="3"/>
        <v>8</v>
      </c>
      <c r="X12" s="5" cm="1">
        <f t="array" ref="X12">IFERROR(MEDIAN(_xlfn._xlws.FILTER($S$2:$S$209,($M$2:$M$209=U12)*($N$2:$N$209=V12)*($P$2:$P$209="Resale")*($S$2:$S$209&lt;&gt;""))),"")</f>
        <v>767.5350701402806</v>
      </c>
      <c r="Y12" s="5" t="str">
        <f t="shared" si="5"/>
        <v/>
      </c>
      <c r="Z12" s="5">
        <f t="shared" si="6"/>
        <v>0</v>
      </c>
      <c r="AA12" s="5" t="str" cm="1">
        <f t="array" ref="AA12">IF(Z12=0,"",MEDIAN(_xlfn._xlws.FILTER($Y$2:$Y$209,($M$2:$M$209=U12)*($N$2:$N$209=V12)*($P$2:$P$209="Long Term Rental")*($Y$2:$Y$209&lt;&gt;""),"")))</f>
        <v/>
      </c>
      <c r="AB12" s="5" t="str">
        <f t="shared" si="4"/>
        <v/>
      </c>
      <c r="AC12" s="5" cm="1">
        <f t="array" ref="AC12">IFERROR(MEDIAN(_xlfn._xlws.FILTER($Q$2:$Q$209,($M$2:$M$209=U12)*($P$2:$P$209="Short Term Rental")*($Q$2:$Q$209&lt;&gt;""))),"")</f>
        <v>6300</v>
      </c>
    </row>
    <row r="13" spans="1:29" ht="15" thickBot="1" x14ac:dyDescent="0.4">
      <c r="A13" s="1" t="s">
        <v>97</v>
      </c>
      <c r="B13" s="2" t="s">
        <v>98</v>
      </c>
      <c r="C13" s="1" t="s">
        <v>99</v>
      </c>
      <c r="D13" s="1" t="s">
        <v>34</v>
      </c>
      <c r="E13" s="1" t="s">
        <v>25</v>
      </c>
      <c r="F13" s="3">
        <v>2251</v>
      </c>
      <c r="G13" s="1" t="s">
        <v>30</v>
      </c>
      <c r="H13" s="3">
        <v>88.17</v>
      </c>
      <c r="I13" s="1" t="s">
        <v>36</v>
      </c>
      <c r="J13" s="1" t="s">
        <v>37</v>
      </c>
      <c r="K13" s="1" t="s">
        <v>19</v>
      </c>
      <c r="L13" s="1"/>
      <c r="M13" s="5" t="str">
        <f>_xlfn.XLOOKUP(TRIM(C13),MAPPING!A:A,MAPPING!B:B,"CHECK")</f>
        <v>Karjat Town</v>
      </c>
      <c r="N13" s="5" t="str">
        <f>_xlfn.XLOOKUP(D13,MAPPING!G:G,MAPPING!H:H,"CHECK")</f>
        <v>Villa</v>
      </c>
      <c r="O13" s="5" t="str">
        <f>_xlfn.XLOOKUP(E13,MAPPING!J:J,MAPPING!K:K,"CHECK")</f>
        <v>3 BHK</v>
      </c>
      <c r="P13" s="5" t="str">
        <f>_xlfn.XLOOKUP(J13,MAPPING!M:M,MAPPING!N:N,"CHECK")</f>
        <v>Resale</v>
      </c>
      <c r="Q13" s="5">
        <f t="shared" si="0"/>
        <v>8817000</v>
      </c>
      <c r="R13" s="5">
        <f t="shared" si="1"/>
        <v>2251</v>
      </c>
      <c r="S13" s="5">
        <f t="shared" si="2"/>
        <v>3916.9258107507776</v>
      </c>
      <c r="T13" s="5"/>
      <c r="U13" s="16" t="s">
        <v>77</v>
      </c>
      <c r="V13" s="16" t="s">
        <v>466</v>
      </c>
      <c r="W13" s="5">
        <f t="shared" si="3"/>
        <v>5</v>
      </c>
      <c r="X13" s="5" cm="1">
        <f t="array" ref="X13">IFERROR(MEDIAN(_xlfn._xlws.FILTER($S$2:$S$209,($M$2:$M$209=U13)*($N$2:$N$209=V13)*($P$2:$P$209="Resale")*($S$2:$S$209&lt;&gt;""))),"")</f>
        <v>123.37367546764891</v>
      </c>
      <c r="Y13" s="5" t="str">
        <f t="shared" si="5"/>
        <v/>
      </c>
      <c r="Z13" s="5">
        <f t="shared" si="6"/>
        <v>0</v>
      </c>
      <c r="AA13" s="5" t="str" cm="1">
        <f t="array" ref="AA13">IF(Z13=0,"",MEDIAN(_xlfn._xlws.FILTER($Y$2:$Y$209,($M$2:$M$209=U13)*($N$2:$N$209=V13)*($P$2:$P$209="Long Term Rental")*($Y$2:$Y$209&lt;&gt;""),"")))</f>
        <v/>
      </c>
      <c r="AB13" s="5" t="str">
        <f t="shared" si="4"/>
        <v/>
      </c>
      <c r="AC13" s="5" cm="1">
        <f t="array" ref="AC13">IFERROR(MEDIAN(_xlfn._xlws.FILTER($Q$2:$Q$209,($M$2:$M$209=U13)*($P$2:$P$209="Short Term Rental")*($Q$2:$Q$209&lt;&gt;""))),"")</f>
        <v>6300</v>
      </c>
    </row>
    <row r="14" spans="1:29" ht="15" thickBot="1" x14ac:dyDescent="0.4">
      <c r="A14" s="1" t="s">
        <v>195</v>
      </c>
      <c r="B14" s="1" t="s">
        <v>154</v>
      </c>
      <c r="C14" s="1" t="s">
        <v>40</v>
      </c>
      <c r="D14" s="1" t="s">
        <v>155</v>
      </c>
      <c r="E14" s="1" t="s">
        <v>42</v>
      </c>
      <c r="F14" s="3">
        <v>7642</v>
      </c>
      <c r="G14" s="1" t="s">
        <v>30</v>
      </c>
      <c r="H14" s="3">
        <v>10.8</v>
      </c>
      <c r="I14" s="1" t="s">
        <v>36</v>
      </c>
      <c r="J14" s="1" t="s">
        <v>37</v>
      </c>
      <c r="K14" s="1" t="s">
        <v>19</v>
      </c>
      <c r="L14" s="1"/>
      <c r="M14" s="5" t="str">
        <f>_xlfn.XLOOKUP(TRIM(C14),MAPPING!A:A,MAPPING!B:B,"CHECK")</f>
        <v>Karjat Town</v>
      </c>
      <c r="N14" s="5" t="str">
        <f>_xlfn.XLOOKUP(D14,MAPPING!G:G,MAPPING!H:H,"CHECK")</f>
        <v>Farmland</v>
      </c>
      <c r="O14" s="5" t="str">
        <f>_xlfn.XLOOKUP(E14,MAPPING!J:J,MAPPING!K:K,"CHECK")</f>
        <v>NA</v>
      </c>
      <c r="P14" s="5" t="str">
        <f>_xlfn.XLOOKUP(J14,MAPPING!M:M,MAPPING!N:N,"CHECK")</f>
        <v>Resale</v>
      </c>
      <c r="Q14" s="5">
        <f t="shared" si="0"/>
        <v>1080000</v>
      </c>
      <c r="R14" s="5">
        <f t="shared" si="1"/>
        <v>7642</v>
      </c>
      <c r="S14" s="5">
        <f t="shared" si="2"/>
        <v>141.32426066474744</v>
      </c>
      <c r="T14" s="5"/>
      <c r="U14" s="16" t="s">
        <v>28</v>
      </c>
      <c r="V14" s="16" t="s">
        <v>47</v>
      </c>
      <c r="W14" s="5">
        <f t="shared" si="3"/>
        <v>10</v>
      </c>
      <c r="X14" s="5" cm="1">
        <f t="array" ref="X14">IFERROR(MEDIAN(_xlfn._xlws.FILTER($S$2:$S$209,($M$2:$M$209=U14)*($N$2:$N$209=V14)*($P$2:$P$209="Resale")*($S$2:$S$209&lt;&gt;""))),"")</f>
        <v>5034.6152172608545</v>
      </c>
      <c r="Y14" s="5" t="str">
        <f t="shared" si="5"/>
        <v/>
      </c>
      <c r="Z14" s="5">
        <f t="shared" si="6"/>
        <v>8</v>
      </c>
      <c r="AA14" s="5" cm="1">
        <f t="array" ref="AA14">IF(Z14=0,"",MEDIAN(_xlfn._xlws.FILTER($Y$2:$Y$209,($M$2:$M$209=U14)*($N$2:$N$209=V14)*($P$2:$P$209="Long Term Rental")*($Y$2:$Y$209&lt;&gt;""),"")))</f>
        <v>15.937631511077058</v>
      </c>
      <c r="AB14" s="5">
        <f t="shared" si="4"/>
        <v>3.7987327706242766</v>
      </c>
      <c r="AC14" s="5" cm="1">
        <f t="array" ref="AC14">IFERROR(MEDIAN(_xlfn._xlws.FILTER($Q$2:$Q$209,($M$2:$M$209=U14)*($P$2:$P$209="Short Term Rental")*($Q$2:$Q$209&lt;&gt;""))),"")</f>
        <v>5800</v>
      </c>
    </row>
    <row r="15" spans="1:29" ht="15" thickBot="1" x14ac:dyDescent="0.4">
      <c r="A15" s="1" t="s">
        <v>292</v>
      </c>
      <c r="B15" s="1" t="s">
        <v>293</v>
      </c>
      <c r="C15" s="1" t="s">
        <v>99</v>
      </c>
      <c r="D15" s="1" t="s">
        <v>47</v>
      </c>
      <c r="E15" s="1" t="s">
        <v>35</v>
      </c>
      <c r="F15" s="3">
        <v>2521</v>
      </c>
      <c r="G15" s="1" t="s">
        <v>30</v>
      </c>
      <c r="H15" s="3">
        <v>1.02</v>
      </c>
      <c r="I15" s="1" t="s">
        <v>64</v>
      </c>
      <c r="J15" s="1" t="s">
        <v>37</v>
      </c>
      <c r="K15" s="1" t="s">
        <v>53</v>
      </c>
      <c r="L15" s="1"/>
      <c r="M15" s="5" t="str">
        <f>_xlfn.XLOOKUP(TRIM(C15),MAPPING!A:A,MAPPING!B:B,"CHECK")</f>
        <v>Karjat Town</v>
      </c>
      <c r="N15" s="5" t="str">
        <f>_xlfn.XLOOKUP(D15,MAPPING!G:G,MAPPING!H:H,"CHECK")</f>
        <v>Villa</v>
      </c>
      <c r="O15" s="5" t="str">
        <f>_xlfn.XLOOKUP(E15,MAPPING!J:J,MAPPING!K:K,"CHECK")</f>
        <v>3 BHK</v>
      </c>
      <c r="P15" s="5" t="str">
        <f>_xlfn.XLOOKUP(J15,MAPPING!M:M,MAPPING!N:N,"CHECK")</f>
        <v>Resale</v>
      </c>
      <c r="Q15" s="5">
        <f t="shared" si="0"/>
        <v>10200000</v>
      </c>
      <c r="R15" s="5">
        <f t="shared" si="1"/>
        <v>2521</v>
      </c>
      <c r="S15" s="5">
        <f t="shared" si="2"/>
        <v>4046.0134867116226</v>
      </c>
      <c r="T15" s="5"/>
      <c r="U15" s="16" t="s">
        <v>28</v>
      </c>
      <c r="V15" s="16" t="s">
        <v>63</v>
      </c>
      <c r="W15" s="5">
        <f t="shared" si="3"/>
        <v>6</v>
      </c>
      <c r="X15" s="5" cm="1">
        <f t="array" ref="X15">IFERROR(MEDIAN(_xlfn._xlws.FILTER($S$2:$S$209,($M$2:$M$209=U15)*($N$2:$N$209=V15)*($P$2:$P$209="Resale")*($S$2:$S$209&lt;&gt;""))),"")</f>
        <v>939.08437972306126</v>
      </c>
      <c r="Y15" s="5" t="str">
        <f t="shared" si="5"/>
        <v/>
      </c>
      <c r="Z15" s="5">
        <f t="shared" si="6"/>
        <v>0</v>
      </c>
      <c r="AA15" s="5" t="str" cm="1">
        <f t="array" ref="AA15">IF(Z15=0,"",MEDIAN(_xlfn._xlws.FILTER($Y$2:$Y$209,($M$2:$M$209=U15)*($N$2:$N$209=V15)*($P$2:$P$209="Long Term Rental")*($Y$2:$Y$209&lt;&gt;""),"")))</f>
        <v/>
      </c>
      <c r="AB15" s="5" t="str">
        <f t="shared" si="4"/>
        <v/>
      </c>
      <c r="AC15" s="5" cm="1">
        <f t="array" ref="AC15">IFERROR(MEDIAN(_xlfn._xlws.FILTER($Q$2:$Q$209,($M$2:$M$209=U15)*($P$2:$P$209="Short Term Rental")*($Q$2:$Q$209&lt;&gt;""))),"")</f>
        <v>5800</v>
      </c>
    </row>
    <row r="16" spans="1:29" ht="15" thickBot="1" x14ac:dyDescent="0.4">
      <c r="A16" s="1" t="s">
        <v>401</v>
      </c>
      <c r="B16" s="1" t="s">
        <v>402</v>
      </c>
      <c r="C16" s="1" t="s">
        <v>40</v>
      </c>
      <c r="D16" s="1" t="s">
        <v>47</v>
      </c>
      <c r="E16" s="1" t="s">
        <v>52</v>
      </c>
      <c r="F16" s="3">
        <v>2403</v>
      </c>
      <c r="G16" s="1" t="s">
        <v>30</v>
      </c>
      <c r="H16" s="3">
        <v>1.05</v>
      </c>
      <c r="I16" s="1" t="s">
        <v>64</v>
      </c>
      <c r="J16" s="1" t="s">
        <v>37</v>
      </c>
      <c r="K16" s="1" t="s">
        <v>19</v>
      </c>
      <c r="L16" s="1"/>
      <c r="M16" s="5" t="str">
        <f>_xlfn.XLOOKUP(TRIM(C16),MAPPING!A:A,MAPPING!B:B,"CHECK")</f>
        <v>Karjat Town</v>
      </c>
      <c r="N16" s="5" t="str">
        <f>_xlfn.XLOOKUP(D16,MAPPING!G:G,MAPPING!H:H,"CHECK")</f>
        <v>Villa</v>
      </c>
      <c r="O16" s="5" t="str">
        <f>_xlfn.XLOOKUP(E16,MAPPING!J:J,MAPPING!K:K,"CHECK")</f>
        <v>2 BHK</v>
      </c>
      <c r="P16" s="5" t="str">
        <f>_xlfn.XLOOKUP(J16,MAPPING!M:M,MAPPING!N:N,"CHECK")</f>
        <v>Resale</v>
      </c>
      <c r="Q16" s="5">
        <f t="shared" si="0"/>
        <v>10500000</v>
      </c>
      <c r="R16" s="5">
        <f t="shared" si="1"/>
        <v>2403</v>
      </c>
      <c r="S16" s="5">
        <f t="shared" si="2"/>
        <v>4369.5380774032456</v>
      </c>
      <c r="T16" s="5"/>
      <c r="U16" s="16" t="s">
        <v>28</v>
      </c>
      <c r="V16" s="16" t="s">
        <v>466</v>
      </c>
      <c r="W16" s="5">
        <f t="shared" si="3"/>
        <v>10</v>
      </c>
      <c r="X16" s="5" cm="1">
        <f t="array" ref="X16">IFERROR(MEDIAN(_xlfn._xlws.FILTER($S$2:$S$209,($M$2:$M$209=U16)*($N$2:$N$209=V16)*($P$2:$P$209="Resale")*($S$2:$S$209&lt;&gt;""))),"")</f>
        <v>167.44766347148033</v>
      </c>
      <c r="Y16" s="5" t="str">
        <f t="shared" si="5"/>
        <v/>
      </c>
      <c r="Z16" s="5">
        <f t="shared" si="6"/>
        <v>0</v>
      </c>
      <c r="AA16" s="5" t="str" cm="1">
        <f t="array" ref="AA16">IF(Z16=0,"",MEDIAN(_xlfn._xlws.FILTER($Y$2:$Y$209,($M$2:$M$209=U16)*($N$2:$N$209=V16)*($P$2:$P$209="Long Term Rental")*($Y$2:$Y$209&lt;&gt;""),"")))</f>
        <v/>
      </c>
      <c r="AB16" s="5" t="str">
        <f t="shared" si="4"/>
        <v/>
      </c>
      <c r="AC16" s="5" cm="1">
        <f t="array" ref="AC16">IFERROR(MEDIAN(_xlfn._xlws.FILTER($Q$2:$Q$209,($M$2:$M$209=U16)*($P$2:$P$209="Short Term Rental")*($Q$2:$Q$209&lt;&gt;""))),"")</f>
        <v>5800</v>
      </c>
    </row>
    <row r="17" spans="1:29" ht="15" thickBot="1" x14ac:dyDescent="0.4">
      <c r="A17" s="1" t="s">
        <v>418</v>
      </c>
      <c r="B17" s="1" t="s">
        <v>179</v>
      </c>
      <c r="C17" s="1" t="s">
        <v>60</v>
      </c>
      <c r="D17" s="1" t="s">
        <v>131</v>
      </c>
      <c r="E17" s="1" t="s">
        <v>42</v>
      </c>
      <c r="F17" s="3">
        <v>0.66</v>
      </c>
      <c r="G17" s="1" t="s">
        <v>85</v>
      </c>
      <c r="H17" s="3">
        <v>2.67</v>
      </c>
      <c r="I17" s="1" t="s">
        <v>64</v>
      </c>
      <c r="J17" s="1" t="s">
        <v>37</v>
      </c>
      <c r="K17" s="1" t="s">
        <v>19</v>
      </c>
      <c r="L17" s="1"/>
      <c r="M17" s="5" t="str">
        <f>_xlfn.XLOOKUP(TRIM(C17),MAPPING!A:A,MAPPING!B:B,"CHECK")</f>
        <v>Karjat Town</v>
      </c>
      <c r="N17" s="5" t="str">
        <f>_xlfn.XLOOKUP(D17,MAPPING!G:G,MAPPING!H:H,"CHECK")</f>
        <v>Plot</v>
      </c>
      <c r="O17" s="5" t="str">
        <f>_xlfn.XLOOKUP(E17,MAPPING!J:J,MAPPING!K:K,"CHECK")</f>
        <v>NA</v>
      </c>
      <c r="P17" s="5" t="str">
        <f>_xlfn.XLOOKUP(J17,MAPPING!M:M,MAPPING!N:N,"CHECK")</f>
        <v>Resale</v>
      </c>
      <c r="Q17" s="5">
        <f t="shared" si="0"/>
        <v>26700000</v>
      </c>
      <c r="R17" s="5">
        <f t="shared" si="1"/>
        <v>28749.600000000002</v>
      </c>
      <c r="S17" s="5">
        <f t="shared" si="2"/>
        <v>928.70857333667243</v>
      </c>
      <c r="T17" s="5"/>
      <c r="U17" s="5"/>
      <c r="V17" s="5"/>
      <c r="W17" s="5">
        <f t="shared" si="3"/>
        <v>0</v>
      </c>
      <c r="X17" s="5" t="str" cm="1">
        <f t="array" ref="X17">IFERROR(MEDIAN(_xlfn._xlws.FILTER($S$2:$S$209,($M$2:$M$209=U17)*($N$2:$N$209=V17)*($P$2:$P$209="Resale")*($S$2:$S$209&lt;&gt;""))),"")</f>
        <v/>
      </c>
      <c r="Y17" s="5" t="str">
        <f t="shared" si="5"/>
        <v/>
      </c>
      <c r="Z17" s="5">
        <f t="shared" ref="Z17:Z65" si="7">COUNTIFS($M$2:$M$209,U17,$P$2:$P$209,"Long Term Rental")</f>
        <v>0</v>
      </c>
      <c r="AA17" s="5" t="str" cm="1">
        <f t="array" ref="AA17">IF(Z17=0,"",MEDIAN(_xlfn._xlws.FILTER($Y$2:$Y$209,($M$2:$M$209=U17)*($N$2:$N$209=V17)*($P$2:$P$209="Long Term Rental")*($Y$2:$Y$209&lt;&gt;""),"")))</f>
        <v/>
      </c>
      <c r="AB17" s="5" t="str">
        <f t="shared" si="4"/>
        <v/>
      </c>
      <c r="AC17" s="5" t="str" cm="1">
        <f t="array" ref="AC17">IFERROR(MEDIAN(_xlfn._xlws.FILTER($Q$2:$Q$209,($M$2:$M$209=U17)*($P$2:$P$209="Short Term Rental")*($Q$2:$Q$209&lt;&gt;""))),"")</f>
        <v/>
      </c>
    </row>
    <row r="18" spans="1:29" ht="15" thickBot="1" x14ac:dyDescent="0.4">
      <c r="A18" s="1" t="s">
        <v>183</v>
      </c>
      <c r="B18" s="1" t="s">
        <v>184</v>
      </c>
      <c r="C18" s="1" t="s">
        <v>185</v>
      </c>
      <c r="D18" s="2" t="s">
        <v>67</v>
      </c>
      <c r="E18" s="1" t="s">
        <v>16</v>
      </c>
      <c r="F18" s="3">
        <v>2100</v>
      </c>
      <c r="G18" s="1" t="s">
        <v>30</v>
      </c>
      <c r="H18" s="3">
        <v>99.08</v>
      </c>
      <c r="I18" s="1" t="s">
        <v>36</v>
      </c>
      <c r="J18" s="1" t="s">
        <v>37</v>
      </c>
      <c r="K18" s="1" t="s">
        <v>53</v>
      </c>
      <c r="L18" s="1"/>
      <c r="M18" s="5" t="str">
        <f>_xlfn.XLOOKUP(TRIM(C18),MAPPING!A:A,MAPPING!B:B,"CHECK")</f>
        <v>Karjat Town</v>
      </c>
      <c r="N18" s="5" t="str">
        <f>_xlfn.XLOOKUP(D18,MAPPING!G:G,MAPPING!H:H,"CHECK")</f>
        <v>Villa</v>
      </c>
      <c r="O18" s="5" t="str">
        <f>_xlfn.XLOOKUP(E18,MAPPING!J:J,MAPPING!K:K,"CHECK")</f>
        <v>3 BHK</v>
      </c>
      <c r="P18" s="5" t="str">
        <f>_xlfn.XLOOKUP(J18,MAPPING!M:M,MAPPING!N:N,"CHECK")</f>
        <v>Resale</v>
      </c>
      <c r="Q18" s="5">
        <f t="shared" si="0"/>
        <v>9908000</v>
      </c>
      <c r="R18" s="5">
        <f t="shared" si="1"/>
        <v>2100</v>
      </c>
      <c r="S18" s="5">
        <f t="shared" si="2"/>
        <v>4718.0952380952385</v>
      </c>
      <c r="T18" s="5"/>
      <c r="U18" s="5"/>
      <c r="V18" s="5"/>
      <c r="W18" s="5">
        <f t="shared" si="3"/>
        <v>0</v>
      </c>
      <c r="X18" s="5" t="str" cm="1">
        <f t="array" ref="X18">IFERROR(MEDIAN(_xlfn._xlws.FILTER($S$2:$S$209,($M$2:$M$209=U18)*($N$2:$N$209=V18)*($P$2:$P$209="Resale")*($S$2:$S$209&lt;&gt;""))),"")</f>
        <v/>
      </c>
      <c r="Y18" s="5" t="str">
        <f t="shared" si="5"/>
        <v/>
      </c>
      <c r="Z18" s="5">
        <f t="shared" si="7"/>
        <v>0</v>
      </c>
      <c r="AA18" s="5" t="str" cm="1">
        <f t="array" ref="AA18">IF(Z18=0,"",MEDIAN(_xlfn._xlws.FILTER($Y$2:$Y$209,($M$2:$M$209=U18)*($N$2:$N$209=V18)*($P$2:$P$209="Long Term Rental")*($Y$2:$Y$209&lt;&gt;""),"")))</f>
        <v/>
      </c>
      <c r="AB18" s="5" t="str">
        <f t="shared" si="4"/>
        <v/>
      </c>
      <c r="AC18" s="5" t="str" cm="1">
        <f t="array" ref="AC18">IFERROR(MEDIAN(_xlfn._xlws.FILTER($Q$2:$Q$209,($M$2:$M$209=U18)*($P$2:$P$209="Short Term Rental")*($Q$2:$Q$209&lt;&gt;""))),"")</f>
        <v/>
      </c>
    </row>
    <row r="19" spans="1:29" ht="15" thickBot="1" x14ac:dyDescent="0.4">
      <c r="A19" s="1" t="s">
        <v>399</v>
      </c>
      <c r="B19" s="1" t="s">
        <v>400</v>
      </c>
      <c r="C19" s="1" t="s">
        <v>91</v>
      </c>
      <c r="D19" s="1" t="s">
        <v>117</v>
      </c>
      <c r="E19" s="1" t="s">
        <v>42</v>
      </c>
      <c r="F19" s="3">
        <v>2449</v>
      </c>
      <c r="G19" s="1" t="s">
        <v>30</v>
      </c>
      <c r="H19" s="3">
        <v>3.3</v>
      </c>
      <c r="I19" s="1" t="s">
        <v>36</v>
      </c>
      <c r="J19" s="1" t="s">
        <v>37</v>
      </c>
      <c r="K19" s="1" t="s">
        <v>19</v>
      </c>
      <c r="L19" s="1"/>
      <c r="M19" s="5" t="str">
        <f>_xlfn.XLOOKUP(TRIM(C19),MAPPING!A:A,MAPPING!B:B,"CHECK")</f>
        <v>Karjat Town</v>
      </c>
      <c r="N19" s="5" t="str">
        <f>_xlfn.XLOOKUP(D19,MAPPING!G:G,MAPPING!H:H,"CHECK")</f>
        <v>Farmland</v>
      </c>
      <c r="O19" s="5" t="str">
        <f>_xlfn.XLOOKUP(E19,MAPPING!J:J,MAPPING!K:K,"CHECK")</f>
        <v>NA</v>
      </c>
      <c r="P19" s="5" t="str">
        <f>_xlfn.XLOOKUP(J19,MAPPING!M:M,MAPPING!N:N,"CHECK")</f>
        <v>Resale</v>
      </c>
      <c r="Q19" s="5">
        <f t="shared" si="0"/>
        <v>330000</v>
      </c>
      <c r="R19" s="5">
        <f t="shared" si="1"/>
        <v>2449</v>
      </c>
      <c r="S19" s="5">
        <f t="shared" si="2"/>
        <v>134.74887709269089</v>
      </c>
      <c r="T19" s="5"/>
      <c r="U19" s="5"/>
      <c r="V19" s="5"/>
      <c r="W19" s="5">
        <f t="shared" si="3"/>
        <v>0</v>
      </c>
      <c r="X19" s="5" t="str" cm="1">
        <f t="array" ref="X19">IFERROR(MEDIAN(_xlfn._xlws.FILTER($S$2:$S$209,($M$2:$M$209=U19)*($N$2:$N$209=V19)*($P$2:$P$209="Resale")*($S$2:$S$209&lt;&gt;""))),"")</f>
        <v/>
      </c>
      <c r="Y19" s="5" t="str">
        <f t="shared" si="5"/>
        <v/>
      </c>
      <c r="Z19" s="5">
        <f t="shared" si="7"/>
        <v>0</v>
      </c>
      <c r="AA19" s="5" t="str" cm="1">
        <f t="array" ref="AA19">IF(Z19=0,"",MEDIAN(_xlfn._xlws.FILTER($Y$2:$Y$209,($M$2:$M$209=U19)*($N$2:$N$209=V19)*($P$2:$P$209="Long Term Rental")*($Y$2:$Y$209&lt;&gt;""),"")))</f>
        <v/>
      </c>
      <c r="AB19" s="5" t="str">
        <f t="shared" si="4"/>
        <v/>
      </c>
      <c r="AC19" s="5" t="str" cm="1">
        <f t="array" ref="AC19">IFERROR(MEDIAN(_xlfn._xlws.FILTER($Q$2:$Q$209,($M$2:$M$209=U19)*($P$2:$P$209="Short Term Rental")*($Q$2:$Q$209&lt;&gt;""))),"")</f>
        <v/>
      </c>
    </row>
    <row r="20" spans="1:29" ht="15" thickBot="1" x14ac:dyDescent="0.4">
      <c r="A20" s="1" t="s">
        <v>436</v>
      </c>
      <c r="B20" s="1" t="s">
        <v>437</v>
      </c>
      <c r="C20" s="1" t="s">
        <v>91</v>
      </c>
      <c r="D20" s="1" t="s">
        <v>34</v>
      </c>
      <c r="E20" s="1" t="s">
        <v>16</v>
      </c>
      <c r="F20" s="3">
        <v>1198</v>
      </c>
      <c r="G20" s="1" t="s">
        <v>30</v>
      </c>
      <c r="H20" s="3">
        <v>56.59</v>
      </c>
      <c r="I20" s="1" t="s">
        <v>36</v>
      </c>
      <c r="J20" s="1" t="s">
        <v>37</v>
      </c>
      <c r="K20" s="1" t="s">
        <v>19</v>
      </c>
      <c r="L20" s="1"/>
      <c r="M20" s="5" t="str">
        <f>_xlfn.XLOOKUP(TRIM(C20),MAPPING!A:A,MAPPING!B:B,"CHECK")</f>
        <v>Karjat Town</v>
      </c>
      <c r="N20" s="5" t="str">
        <f>_xlfn.XLOOKUP(D20,MAPPING!G:G,MAPPING!H:H,"CHECK")</f>
        <v>Villa</v>
      </c>
      <c r="O20" s="5" t="str">
        <f>_xlfn.XLOOKUP(E20,MAPPING!J:J,MAPPING!K:K,"CHECK")</f>
        <v>3 BHK</v>
      </c>
      <c r="P20" s="5" t="str">
        <f>_xlfn.XLOOKUP(J20,MAPPING!M:M,MAPPING!N:N,"CHECK")</f>
        <v>Resale</v>
      </c>
      <c r="Q20" s="5">
        <f t="shared" si="0"/>
        <v>5659000</v>
      </c>
      <c r="R20" s="5">
        <f t="shared" si="1"/>
        <v>1198</v>
      </c>
      <c r="S20" s="5">
        <f t="shared" si="2"/>
        <v>4723.706176961603</v>
      </c>
      <c r="T20" s="5"/>
      <c r="U20" s="5"/>
      <c r="V20" s="5"/>
      <c r="W20" s="5">
        <f t="shared" si="3"/>
        <v>0</v>
      </c>
      <c r="X20" s="5" t="str" cm="1">
        <f t="array" ref="X20">IFERROR(MEDIAN(_xlfn._xlws.FILTER($S$2:$S$209,($M$2:$M$209=U20)*($N$2:$N$209=V20)*($P$2:$P$209="Resale")*($S$2:$S$209&lt;&gt;""))),"")</f>
        <v/>
      </c>
      <c r="Y20" s="5" t="str">
        <f t="shared" si="5"/>
        <v/>
      </c>
      <c r="Z20" s="5">
        <f t="shared" si="7"/>
        <v>0</v>
      </c>
      <c r="AA20" s="5" t="str" cm="1">
        <f t="array" ref="AA20">IF(Z20=0,"",MEDIAN(_xlfn._xlws.FILTER($Y$2:$Y$209,($M$2:$M$209=U20)*($N$2:$N$209=V20)*($P$2:$P$209="Long Term Rental")*($Y$2:$Y$209&lt;&gt;""),"")))</f>
        <v/>
      </c>
      <c r="AB20" s="5" t="str">
        <f t="shared" si="4"/>
        <v/>
      </c>
      <c r="AC20" s="5" t="str" cm="1">
        <f t="array" ref="AC20">IFERROR(MEDIAN(_xlfn._xlws.FILTER($Q$2:$Q$209,($M$2:$M$209=U20)*($P$2:$P$209="Short Term Rental")*($Q$2:$Q$209&lt;&gt;""))),"")</f>
        <v/>
      </c>
    </row>
    <row r="21" spans="1:29" ht="15" thickBot="1" x14ac:dyDescent="0.4">
      <c r="A21" s="1" t="s">
        <v>278</v>
      </c>
      <c r="B21" s="1" t="s">
        <v>279</v>
      </c>
      <c r="C21" s="1" t="s">
        <v>60</v>
      </c>
      <c r="D21" s="1" t="s">
        <v>155</v>
      </c>
      <c r="E21" s="1" t="s">
        <v>42</v>
      </c>
      <c r="F21" s="3">
        <v>5974</v>
      </c>
      <c r="G21" s="1" t="s">
        <v>30</v>
      </c>
      <c r="H21" s="3">
        <v>9.61</v>
      </c>
      <c r="I21" s="1" t="s">
        <v>36</v>
      </c>
      <c r="J21" s="1" t="s">
        <v>37</v>
      </c>
      <c r="K21" s="1" t="s">
        <v>19</v>
      </c>
      <c r="L21" s="1"/>
      <c r="M21" s="5" t="str">
        <f>_xlfn.XLOOKUP(TRIM(C21),MAPPING!A:A,MAPPING!B:B,"CHECK")</f>
        <v>Karjat Town</v>
      </c>
      <c r="N21" s="5" t="str">
        <f>_xlfn.XLOOKUP(D21,MAPPING!G:G,MAPPING!H:H,"CHECK")</f>
        <v>Farmland</v>
      </c>
      <c r="O21" s="5" t="str">
        <f>_xlfn.XLOOKUP(E21,MAPPING!J:J,MAPPING!K:K,"CHECK")</f>
        <v>NA</v>
      </c>
      <c r="P21" s="5" t="str">
        <f>_xlfn.XLOOKUP(J21,MAPPING!M:M,MAPPING!N:N,"CHECK")</f>
        <v>Resale</v>
      </c>
      <c r="Q21" s="5">
        <f t="shared" si="0"/>
        <v>961000</v>
      </c>
      <c r="R21" s="5">
        <f t="shared" si="1"/>
        <v>5974</v>
      </c>
      <c r="S21" s="5">
        <f t="shared" si="2"/>
        <v>160.86374288583863</v>
      </c>
      <c r="T21" s="5"/>
      <c r="U21" s="5"/>
      <c r="V21" s="5"/>
      <c r="W21" s="5">
        <f t="shared" si="3"/>
        <v>0</v>
      </c>
      <c r="X21" s="5" t="str" cm="1">
        <f t="array" ref="X21">IFERROR(MEDIAN(_xlfn._xlws.FILTER($S$2:$S$209,($M$2:$M$209=U21)*($N$2:$N$209=V21)*($P$2:$P$209="Resale")*($S$2:$S$209&lt;&gt;""))),"")</f>
        <v/>
      </c>
      <c r="Y21" s="5" t="str">
        <f t="shared" si="5"/>
        <v/>
      </c>
      <c r="Z21" s="5">
        <f t="shared" si="7"/>
        <v>0</v>
      </c>
      <c r="AA21" s="5" t="str" cm="1">
        <f t="array" ref="AA21">IF(Z21=0,"",MEDIAN(_xlfn._xlws.FILTER($Y$2:$Y$209,($M$2:$M$209=U21)*($N$2:$N$209=V21)*($P$2:$P$209="Long Term Rental")*($Y$2:$Y$209&lt;&gt;""),"")))</f>
        <v/>
      </c>
      <c r="AB21" s="5" t="str">
        <f t="shared" si="4"/>
        <v/>
      </c>
      <c r="AC21" s="5" t="str" cm="1">
        <f t="array" ref="AC21">IFERROR(MEDIAN(_xlfn._xlws.FILTER($Q$2:$Q$209,($M$2:$M$209=U21)*($P$2:$P$209="Short Term Rental")*($Q$2:$Q$209&lt;&gt;""))),"")</f>
        <v/>
      </c>
    </row>
    <row r="22" spans="1:29" ht="15" thickBot="1" x14ac:dyDescent="0.4">
      <c r="A22" s="1" t="s">
        <v>241</v>
      </c>
      <c r="B22" s="1" t="s">
        <v>242</v>
      </c>
      <c r="C22" s="1" t="s">
        <v>60</v>
      </c>
      <c r="D22" s="1" t="s">
        <v>34</v>
      </c>
      <c r="E22" s="1" t="s">
        <v>16</v>
      </c>
      <c r="F22" s="3">
        <v>3049</v>
      </c>
      <c r="G22" s="1" t="s">
        <v>30</v>
      </c>
      <c r="H22" s="3">
        <v>1.28</v>
      </c>
      <c r="I22" s="1" t="s">
        <v>64</v>
      </c>
      <c r="J22" s="1" t="s">
        <v>37</v>
      </c>
      <c r="K22" s="1" t="s">
        <v>124</v>
      </c>
      <c r="L22" s="1"/>
      <c r="M22" s="5" t="str">
        <f>_xlfn.XLOOKUP(TRIM(C22),MAPPING!A:A,MAPPING!B:B,"CHECK")</f>
        <v>Karjat Town</v>
      </c>
      <c r="N22" s="5" t="str">
        <f>_xlfn.XLOOKUP(D22,MAPPING!G:G,MAPPING!H:H,"CHECK")</f>
        <v>Villa</v>
      </c>
      <c r="O22" s="5" t="str">
        <f>_xlfn.XLOOKUP(E22,MAPPING!J:J,MAPPING!K:K,"CHECK")</f>
        <v>3 BHK</v>
      </c>
      <c r="P22" s="5" t="str">
        <f>_xlfn.XLOOKUP(J22,MAPPING!M:M,MAPPING!N:N,"CHECK")</f>
        <v>Resale</v>
      </c>
      <c r="Q22" s="5">
        <f t="shared" si="0"/>
        <v>12800000</v>
      </c>
      <c r="R22" s="5">
        <f t="shared" si="1"/>
        <v>3049</v>
      </c>
      <c r="S22" s="5">
        <f t="shared" si="2"/>
        <v>4198.0977369629391</v>
      </c>
      <c r="T22" s="5"/>
      <c r="U22" s="5"/>
      <c r="V22" s="5"/>
      <c r="W22" s="5">
        <f t="shared" si="3"/>
        <v>0</v>
      </c>
      <c r="X22" s="5" t="str" cm="1">
        <f t="array" ref="X22">IFERROR(MEDIAN(_xlfn._xlws.FILTER($S$2:$S$209,($M$2:$M$209=U22)*($N$2:$N$209=V22)*($P$2:$P$209="Resale")*($S$2:$S$209&lt;&gt;""))),"")</f>
        <v/>
      </c>
      <c r="Y22" s="5" t="str">
        <f t="shared" si="5"/>
        <v/>
      </c>
      <c r="Z22" s="5">
        <f t="shared" si="7"/>
        <v>0</v>
      </c>
      <c r="AA22" s="5" t="str" cm="1">
        <f t="array" ref="AA22">IF(Z22=0,"",MEDIAN(_xlfn._xlws.FILTER($Y$2:$Y$209,($M$2:$M$209=U22)*($N$2:$N$209=V22)*($P$2:$P$209="Long Term Rental")*($Y$2:$Y$209&lt;&gt;""),"")))</f>
        <v/>
      </c>
      <c r="AB22" s="5" t="str">
        <f t="shared" si="4"/>
        <v/>
      </c>
      <c r="AC22" s="5" t="str" cm="1">
        <f t="array" ref="AC22">IFERROR(MEDIAN(_xlfn._xlws.FILTER($Q$2:$Q$209,($M$2:$M$209=U22)*($P$2:$P$209="Short Term Rental")*($Q$2:$Q$209&lt;&gt;""))),"")</f>
        <v/>
      </c>
    </row>
    <row r="23" spans="1:29" ht="15" thickBot="1" x14ac:dyDescent="0.4">
      <c r="A23" s="1" t="s">
        <v>374</v>
      </c>
      <c r="B23" s="1" t="s">
        <v>375</v>
      </c>
      <c r="C23" s="1" t="s">
        <v>185</v>
      </c>
      <c r="D23" s="1" t="s">
        <v>63</v>
      </c>
      <c r="E23" s="1" t="s">
        <v>42</v>
      </c>
      <c r="F23" s="3">
        <v>5.8</v>
      </c>
      <c r="G23" s="1" t="s">
        <v>43</v>
      </c>
      <c r="H23" s="3">
        <v>61.5</v>
      </c>
      <c r="I23" s="1" t="s">
        <v>36</v>
      </c>
      <c r="J23" s="1" t="s">
        <v>37</v>
      </c>
      <c r="K23" s="1" t="s">
        <v>19</v>
      </c>
      <c r="L23" s="1"/>
      <c r="M23" s="5" t="str">
        <f>_xlfn.XLOOKUP(TRIM(C23),MAPPING!A:A,MAPPING!B:B,"CHECK")</f>
        <v>Karjat Town</v>
      </c>
      <c r="N23" s="5" t="str">
        <f>_xlfn.XLOOKUP(D23,MAPPING!G:G,MAPPING!H:H,"CHECK")</f>
        <v>Plot</v>
      </c>
      <c r="O23" s="5" t="str">
        <f>_xlfn.XLOOKUP(E23,MAPPING!J:J,MAPPING!K:K,"CHECK")</f>
        <v>NA</v>
      </c>
      <c r="P23" s="5" t="str">
        <f>_xlfn.XLOOKUP(J23,MAPPING!M:M,MAPPING!N:N,"CHECK")</f>
        <v>Resale</v>
      </c>
      <c r="Q23" s="5">
        <f t="shared" si="0"/>
        <v>6150000</v>
      </c>
      <c r="R23" s="5">
        <f t="shared" si="1"/>
        <v>6316.2</v>
      </c>
      <c r="S23" s="5">
        <f t="shared" si="2"/>
        <v>973.68671036382636</v>
      </c>
      <c r="T23" s="5"/>
      <c r="U23" s="5"/>
      <c r="V23" s="5"/>
      <c r="W23" s="5">
        <f t="shared" si="3"/>
        <v>0</v>
      </c>
      <c r="X23" s="5" t="str" cm="1">
        <f t="array" ref="X23">IFERROR(MEDIAN(_xlfn._xlws.FILTER($S$2:$S$209,($M$2:$M$209=U23)*($N$2:$N$209=V23)*($P$2:$P$209="Resale")*($S$2:$S$209&lt;&gt;""))),"")</f>
        <v/>
      </c>
      <c r="Y23" s="5" t="str">
        <f t="shared" si="5"/>
        <v/>
      </c>
      <c r="Z23" s="5">
        <f t="shared" si="7"/>
        <v>0</v>
      </c>
      <c r="AA23" s="5" t="str" cm="1">
        <f t="array" ref="AA23">IF(Z23=0,"",MEDIAN(_xlfn._xlws.FILTER($Y$2:$Y$209,($M$2:$M$209=U23)*($N$2:$N$209=V23)*($P$2:$P$209="Long Term Rental")*($Y$2:$Y$209&lt;&gt;""),"")))</f>
        <v/>
      </c>
      <c r="AB23" s="5" t="str">
        <f t="shared" si="4"/>
        <v/>
      </c>
      <c r="AC23" s="5" t="str" cm="1">
        <f t="array" ref="AC23">IFERROR(MEDIAN(_xlfn._xlws.FILTER($Q$2:$Q$209,($M$2:$M$209=U23)*($P$2:$P$209="Short Term Rental")*($Q$2:$Q$209&lt;&gt;""))),"")</f>
        <v/>
      </c>
    </row>
    <row r="24" spans="1:29" ht="15" thickBot="1" x14ac:dyDescent="0.4">
      <c r="A24" s="1" t="s">
        <v>322</v>
      </c>
      <c r="B24" s="1" t="s">
        <v>323</v>
      </c>
      <c r="C24" s="1" t="s">
        <v>185</v>
      </c>
      <c r="D24" s="1" t="s">
        <v>34</v>
      </c>
      <c r="E24" s="1" t="s">
        <v>52</v>
      </c>
      <c r="F24" s="3">
        <v>1366</v>
      </c>
      <c r="G24" s="1" t="s">
        <v>30</v>
      </c>
      <c r="H24" s="3">
        <v>63.46</v>
      </c>
      <c r="I24" s="1" t="s">
        <v>36</v>
      </c>
      <c r="J24" s="1" t="s">
        <v>37</v>
      </c>
      <c r="K24" s="1" t="s">
        <v>19</v>
      </c>
      <c r="L24" s="1"/>
      <c r="M24" s="5" t="str">
        <f>_xlfn.XLOOKUP(TRIM(C24),MAPPING!A:A,MAPPING!B:B,"CHECK")</f>
        <v>Karjat Town</v>
      </c>
      <c r="N24" s="5" t="str">
        <f>_xlfn.XLOOKUP(D24,MAPPING!G:G,MAPPING!H:H,"CHECK")</f>
        <v>Villa</v>
      </c>
      <c r="O24" s="5" t="str">
        <f>_xlfn.XLOOKUP(E24,MAPPING!J:J,MAPPING!K:K,"CHECK")</f>
        <v>2 BHK</v>
      </c>
      <c r="P24" s="5" t="str">
        <f>_xlfn.XLOOKUP(J24,MAPPING!M:M,MAPPING!N:N,"CHECK")</f>
        <v>Resale</v>
      </c>
      <c r="Q24" s="5">
        <f t="shared" si="0"/>
        <v>6346000</v>
      </c>
      <c r="R24" s="5">
        <f t="shared" si="1"/>
        <v>1366</v>
      </c>
      <c r="S24" s="5">
        <f t="shared" si="2"/>
        <v>4645.6808199121524</v>
      </c>
      <c r="T24" s="5"/>
      <c r="U24" s="5"/>
      <c r="V24" s="5"/>
      <c r="W24" s="5">
        <f t="shared" si="3"/>
        <v>0</v>
      </c>
      <c r="X24" s="5" t="str" cm="1">
        <f t="array" ref="X24">IFERROR(MEDIAN(_xlfn._xlws.FILTER($S$2:$S$209,($M$2:$M$209=U24)*($N$2:$N$209=V24)*($P$2:$P$209="Resale")*($S$2:$S$209&lt;&gt;""))),"")</f>
        <v/>
      </c>
      <c r="Y24" s="5" t="str">
        <f t="shared" si="5"/>
        <v/>
      </c>
      <c r="Z24" s="5">
        <f t="shared" si="7"/>
        <v>0</v>
      </c>
      <c r="AA24" s="5" t="str" cm="1">
        <f t="array" ref="AA24">IF(Z24=0,"",MEDIAN(_xlfn._xlws.FILTER($Y$2:$Y$209,($M$2:$M$209=U24)*($N$2:$N$209=V24)*($P$2:$P$209="Long Term Rental")*($Y$2:$Y$209&lt;&gt;""),"")))</f>
        <v/>
      </c>
      <c r="AB24" s="5" t="str">
        <f t="shared" si="4"/>
        <v/>
      </c>
      <c r="AC24" s="5" t="str" cm="1">
        <f t="array" ref="AC24">IFERROR(MEDIAN(_xlfn._xlws.FILTER($Q$2:$Q$209,($M$2:$M$209=U24)*($P$2:$P$209="Short Term Rental")*($Q$2:$Q$209&lt;&gt;""))),"")</f>
        <v/>
      </c>
    </row>
    <row r="25" spans="1:29" ht="15" thickBot="1" x14ac:dyDescent="0.4">
      <c r="A25" s="1" t="s">
        <v>178</v>
      </c>
      <c r="B25" s="1" t="s">
        <v>179</v>
      </c>
      <c r="C25" s="1" t="s">
        <v>60</v>
      </c>
      <c r="D25" s="1" t="s">
        <v>131</v>
      </c>
      <c r="E25" s="1" t="s">
        <v>42</v>
      </c>
      <c r="F25" s="3">
        <v>2.72</v>
      </c>
      <c r="G25" s="1" t="s">
        <v>85</v>
      </c>
      <c r="H25" s="3">
        <v>11.75</v>
      </c>
      <c r="I25" s="1" t="s">
        <v>64</v>
      </c>
      <c r="J25" s="1" t="s">
        <v>37</v>
      </c>
      <c r="K25" s="1" t="s">
        <v>19</v>
      </c>
      <c r="L25" s="1"/>
      <c r="M25" s="5" t="str">
        <f>_xlfn.XLOOKUP(TRIM(C25),MAPPING!A:A,MAPPING!B:B,"CHECK")</f>
        <v>Karjat Town</v>
      </c>
      <c r="N25" s="5" t="str">
        <f>_xlfn.XLOOKUP(D25,MAPPING!G:G,MAPPING!H:H,"CHECK")</f>
        <v>Plot</v>
      </c>
      <c r="O25" s="5" t="str">
        <f>_xlfn.XLOOKUP(E25,MAPPING!J:J,MAPPING!K:K,"CHECK")</f>
        <v>NA</v>
      </c>
      <c r="P25" s="5" t="str">
        <f>_xlfn.XLOOKUP(J25,MAPPING!M:M,MAPPING!N:N,"CHECK")</f>
        <v>Resale</v>
      </c>
      <c r="Q25" s="5">
        <f t="shared" si="0"/>
        <v>117500000</v>
      </c>
      <c r="R25" s="5">
        <f t="shared" si="1"/>
        <v>118483.20000000001</v>
      </c>
      <c r="S25" s="5">
        <f t="shared" si="2"/>
        <v>991.70177712958457</v>
      </c>
      <c r="T25" s="5"/>
      <c r="U25" s="5"/>
      <c r="V25" s="5"/>
      <c r="W25" s="5">
        <f t="shared" si="3"/>
        <v>0</v>
      </c>
      <c r="X25" s="5" t="str" cm="1">
        <f t="array" ref="X25">IFERROR(MEDIAN(_xlfn._xlws.FILTER($S$2:$S$209,($M$2:$M$209=U25)*($N$2:$N$209=V25)*($P$2:$P$209="Resale")*($S$2:$S$209&lt;&gt;""))),"")</f>
        <v/>
      </c>
      <c r="Y25" s="5" t="str">
        <f t="shared" si="5"/>
        <v/>
      </c>
      <c r="Z25" s="5">
        <f t="shared" si="7"/>
        <v>0</v>
      </c>
      <c r="AA25" s="5" t="str" cm="1">
        <f t="array" ref="AA25">IF(Z25=0,"",MEDIAN(_xlfn._xlws.FILTER($Y$2:$Y$209,($M$2:$M$209=U25)*($N$2:$N$209=V25)*($P$2:$P$209="Long Term Rental")*($Y$2:$Y$209&lt;&gt;""),"")))</f>
        <v/>
      </c>
      <c r="AB25" s="5" t="str">
        <f t="shared" si="4"/>
        <v/>
      </c>
      <c r="AC25" s="5" t="str" cm="1">
        <f t="array" ref="AC25">IFERROR(MEDIAN(_xlfn._xlws.FILTER($Q$2:$Q$209,($M$2:$M$209=U25)*($P$2:$P$209="Short Term Rental")*($Q$2:$Q$209&lt;&gt;""))),"")</f>
        <v/>
      </c>
    </row>
    <row r="26" spans="1:29" ht="15" thickBot="1" x14ac:dyDescent="0.4">
      <c r="A26" s="1" t="s">
        <v>376</v>
      </c>
      <c r="B26" s="1" t="s">
        <v>377</v>
      </c>
      <c r="C26" s="1" t="s">
        <v>40</v>
      </c>
      <c r="D26" s="1" t="s">
        <v>15</v>
      </c>
      <c r="E26" s="1" t="s">
        <v>52</v>
      </c>
      <c r="F26" s="3">
        <v>1794</v>
      </c>
      <c r="G26" s="1" t="s">
        <v>30</v>
      </c>
      <c r="H26" s="3">
        <v>28100</v>
      </c>
      <c r="I26" s="1" t="s">
        <v>17</v>
      </c>
      <c r="J26" s="1" t="s">
        <v>57</v>
      </c>
      <c r="K26" s="1" t="s">
        <v>19</v>
      </c>
      <c r="L26" s="1"/>
      <c r="M26" s="5" t="str">
        <f>_xlfn.XLOOKUP(TRIM(C26),MAPPING!A:A,MAPPING!B:B,"CHECK")</f>
        <v>Karjat Town</v>
      </c>
      <c r="N26" s="5" t="str">
        <f>_xlfn.XLOOKUP(D26,MAPPING!G:G,MAPPING!H:H,"CHECK")</f>
        <v>Villa</v>
      </c>
      <c r="O26" s="5" t="str">
        <f>_xlfn.XLOOKUP(E26,MAPPING!J:J,MAPPING!K:K,"CHECK")</f>
        <v>2 BHK</v>
      </c>
      <c r="P26" s="5" t="str">
        <f>_xlfn.XLOOKUP(J26,MAPPING!M:M,MAPPING!N:N,"CHECK")</f>
        <v>Long Term Rental</v>
      </c>
      <c r="Q26" s="5">
        <f t="shared" si="0"/>
        <v>28100</v>
      </c>
      <c r="R26" s="5">
        <f t="shared" si="1"/>
        <v>1794</v>
      </c>
      <c r="S26" s="5" t="str">
        <f t="shared" si="2"/>
        <v/>
      </c>
      <c r="T26" s="5"/>
      <c r="U26" s="5"/>
      <c r="V26" s="5"/>
      <c r="W26" s="5">
        <f t="shared" si="3"/>
        <v>0</v>
      </c>
      <c r="X26" s="5" t="str" cm="1">
        <f t="array" ref="X26">IFERROR(MEDIAN(_xlfn._xlws.FILTER($S$2:$S$209,($M$2:$M$209=U26)*($N$2:$N$209=V26)*($P$2:$P$209="Resale")*($S$2:$S$209&lt;&gt;""))),"")</f>
        <v/>
      </c>
      <c r="Y26" s="5">
        <f t="shared" si="5"/>
        <v>15.663322185061315</v>
      </c>
      <c r="Z26" s="5">
        <f t="shared" si="7"/>
        <v>0</v>
      </c>
      <c r="AA26" s="5" t="str" cm="1">
        <f t="array" ref="AA26">IF(Z26=0,"",MEDIAN(_xlfn._xlws.FILTER($Y$2:$Y$209,($M$2:$M$209=U26)*($N$2:$N$209=V26)*($P$2:$P$209="Long Term Rental")*($Y$2:$Y$209&lt;&gt;""),"")))</f>
        <v/>
      </c>
      <c r="AB26" s="5" t="str">
        <f t="shared" si="4"/>
        <v/>
      </c>
      <c r="AC26" s="5" t="str" cm="1">
        <f t="array" ref="AC26">IFERROR(MEDIAN(_xlfn._xlws.FILTER($Q$2:$Q$209,($M$2:$M$209=U26)*($P$2:$P$209="Short Term Rental")*($Q$2:$Q$209&lt;&gt;""))),"")</f>
        <v/>
      </c>
    </row>
    <row r="27" spans="1:29" ht="15" thickBot="1" x14ac:dyDescent="0.4">
      <c r="A27" s="1" t="s">
        <v>132</v>
      </c>
      <c r="B27" s="1" t="s">
        <v>133</v>
      </c>
      <c r="C27" s="1" t="s">
        <v>60</v>
      </c>
      <c r="D27" s="1" t="s">
        <v>47</v>
      </c>
      <c r="E27" s="1" t="s">
        <v>25</v>
      </c>
      <c r="F27" s="3">
        <v>1440</v>
      </c>
      <c r="G27" s="1" t="s">
        <v>30</v>
      </c>
      <c r="H27" s="3">
        <v>20000</v>
      </c>
      <c r="I27" s="1" t="s">
        <v>17</v>
      </c>
      <c r="J27" s="1" t="s">
        <v>57</v>
      </c>
      <c r="K27" s="1" t="s">
        <v>19</v>
      </c>
      <c r="L27" s="1"/>
      <c r="M27" s="5" t="str">
        <f>_xlfn.XLOOKUP(TRIM(C27),MAPPING!A:A,MAPPING!B:B,"CHECK")</f>
        <v>Karjat Town</v>
      </c>
      <c r="N27" s="5" t="str">
        <f>_xlfn.XLOOKUP(D27,MAPPING!G:G,MAPPING!H:H,"CHECK")</f>
        <v>Villa</v>
      </c>
      <c r="O27" s="5" t="str">
        <f>_xlfn.XLOOKUP(E27,MAPPING!J:J,MAPPING!K:K,"CHECK")</f>
        <v>3 BHK</v>
      </c>
      <c r="P27" s="5" t="str">
        <f>_xlfn.XLOOKUP(J27,MAPPING!M:M,MAPPING!N:N,"CHECK")</f>
        <v>Long Term Rental</v>
      </c>
      <c r="Q27" s="5">
        <f t="shared" si="0"/>
        <v>20000</v>
      </c>
      <c r="R27" s="5">
        <f t="shared" si="1"/>
        <v>1440</v>
      </c>
      <c r="S27" s="5" t="str">
        <f t="shared" si="2"/>
        <v/>
      </c>
      <c r="T27" s="5"/>
      <c r="U27" s="5"/>
      <c r="V27" s="5"/>
      <c r="W27" s="5">
        <f t="shared" si="3"/>
        <v>0</v>
      </c>
      <c r="X27" s="5" t="str" cm="1">
        <f t="array" ref="X27">IFERROR(MEDIAN(_xlfn._xlws.FILTER($S$2:$S$209,($M$2:$M$209=U27)*($N$2:$N$209=V27)*($P$2:$P$209="Resale")*($S$2:$S$209&lt;&gt;""))),"")</f>
        <v/>
      </c>
      <c r="Y27" s="5">
        <f t="shared" si="5"/>
        <v>13.888888888888889</v>
      </c>
      <c r="Z27" s="5">
        <f t="shared" si="7"/>
        <v>0</v>
      </c>
      <c r="AA27" s="5" t="str" cm="1">
        <f t="array" ref="AA27">IF(Z27=0,"",MEDIAN(_xlfn._xlws.FILTER($Y$2:$Y$209,($M$2:$M$209=U27)*($N$2:$N$209=V27)*($P$2:$P$209="Long Term Rental")*($Y$2:$Y$209&lt;&gt;""),"")))</f>
        <v/>
      </c>
      <c r="AB27" s="5" t="str">
        <f t="shared" si="4"/>
        <v/>
      </c>
      <c r="AC27" s="5" t="str" cm="1">
        <f t="array" ref="AC27">IFERROR(MEDIAN(_xlfn._xlws.FILTER($Q$2:$Q$209,($M$2:$M$209=U27)*($P$2:$P$209="Short Term Rental")*($Q$2:$Q$209&lt;&gt;""))),"")</f>
        <v/>
      </c>
    </row>
    <row r="28" spans="1:29" ht="15" thickBot="1" x14ac:dyDescent="0.4">
      <c r="A28" s="1" t="s">
        <v>200</v>
      </c>
      <c r="B28" s="1" t="s">
        <v>201</v>
      </c>
      <c r="C28" s="1" t="s">
        <v>99</v>
      </c>
      <c r="D28" s="1" t="s">
        <v>34</v>
      </c>
      <c r="E28" s="1" t="s">
        <v>25</v>
      </c>
      <c r="F28" s="3">
        <v>1513</v>
      </c>
      <c r="G28" s="1" t="s">
        <v>30</v>
      </c>
      <c r="H28" s="3">
        <v>23700</v>
      </c>
      <c r="I28" s="1" t="s">
        <v>17</v>
      </c>
      <c r="J28" s="1" t="s">
        <v>57</v>
      </c>
      <c r="K28" s="1" t="s">
        <v>19</v>
      </c>
      <c r="L28" s="1"/>
      <c r="M28" s="5" t="str">
        <f>_xlfn.XLOOKUP(TRIM(C28),MAPPING!A:A,MAPPING!B:B,"CHECK")</f>
        <v>Karjat Town</v>
      </c>
      <c r="N28" s="5" t="str">
        <f>_xlfn.XLOOKUP(D28,MAPPING!G:G,MAPPING!H:H,"CHECK")</f>
        <v>Villa</v>
      </c>
      <c r="O28" s="5" t="str">
        <f>_xlfn.XLOOKUP(E28,MAPPING!J:J,MAPPING!K:K,"CHECK")</f>
        <v>3 BHK</v>
      </c>
      <c r="P28" s="5" t="str">
        <f>_xlfn.XLOOKUP(J28,MAPPING!M:M,MAPPING!N:N,"CHECK")</f>
        <v>Long Term Rental</v>
      </c>
      <c r="Q28" s="5">
        <f t="shared" si="0"/>
        <v>23700</v>
      </c>
      <c r="R28" s="5">
        <f t="shared" si="1"/>
        <v>1513</v>
      </c>
      <c r="S28" s="5" t="str">
        <f t="shared" si="2"/>
        <v/>
      </c>
      <c r="T28" s="5"/>
      <c r="U28" s="5"/>
      <c r="V28" s="5"/>
      <c r="W28" s="5">
        <f t="shared" si="3"/>
        <v>0</v>
      </c>
      <c r="X28" s="5" t="str" cm="1">
        <f t="array" ref="X28">IFERROR(MEDIAN(_xlfn._xlws.FILTER($S$2:$S$209,($M$2:$M$209=U28)*($N$2:$N$209=V28)*($P$2:$P$209="Resale")*($S$2:$S$209&lt;&gt;""))),"")</f>
        <v/>
      </c>
      <c r="Y28" s="5">
        <f t="shared" si="5"/>
        <v>15.664243225380039</v>
      </c>
      <c r="Z28" s="5">
        <f t="shared" si="7"/>
        <v>0</v>
      </c>
      <c r="AA28" s="5" t="str" cm="1">
        <f t="array" ref="AA28">IF(Z28=0,"",MEDIAN(_xlfn._xlws.FILTER($Y$2:$Y$209,($M$2:$M$209=U28)*($N$2:$N$209=V28)*($P$2:$P$209="Long Term Rental")*($Y$2:$Y$209&lt;&gt;""),"")))</f>
        <v/>
      </c>
      <c r="AB28" s="5" t="str">
        <f t="shared" si="4"/>
        <v/>
      </c>
      <c r="AC28" s="5" t="str" cm="1">
        <f t="array" ref="AC28">IFERROR(MEDIAN(_xlfn._xlws.FILTER($Q$2:$Q$209,($M$2:$M$209=U28)*($P$2:$P$209="Short Term Rental")*($Q$2:$Q$209&lt;&gt;""))),"")</f>
        <v/>
      </c>
    </row>
    <row r="29" spans="1:29" ht="15" thickBot="1" x14ac:dyDescent="0.4">
      <c r="A29" s="1" t="s">
        <v>348</v>
      </c>
      <c r="B29" s="1" t="s">
        <v>349</v>
      </c>
      <c r="C29" s="1" t="s">
        <v>40</v>
      </c>
      <c r="D29" s="1" t="s">
        <v>34</v>
      </c>
      <c r="E29" s="1" t="s">
        <v>35</v>
      </c>
      <c r="F29" s="3">
        <v>1494</v>
      </c>
      <c r="G29" s="1" t="s">
        <v>30</v>
      </c>
      <c r="H29" s="3">
        <v>23200</v>
      </c>
      <c r="I29" s="1" t="s">
        <v>17</v>
      </c>
      <c r="J29" s="1" t="s">
        <v>57</v>
      </c>
      <c r="K29" s="1" t="s">
        <v>19</v>
      </c>
      <c r="L29" s="1"/>
      <c r="M29" s="5" t="str">
        <f>_xlfn.XLOOKUP(TRIM(C29),MAPPING!A:A,MAPPING!B:B,"CHECK")</f>
        <v>Karjat Town</v>
      </c>
      <c r="N29" s="5" t="str">
        <f>_xlfn.XLOOKUP(D29,MAPPING!G:G,MAPPING!H:H,"CHECK")</f>
        <v>Villa</v>
      </c>
      <c r="O29" s="5" t="str">
        <f>_xlfn.XLOOKUP(E29,MAPPING!J:J,MAPPING!K:K,"CHECK")</f>
        <v>3 BHK</v>
      </c>
      <c r="P29" s="5" t="str">
        <f>_xlfn.XLOOKUP(J29,MAPPING!M:M,MAPPING!N:N,"CHECK")</f>
        <v>Long Term Rental</v>
      </c>
      <c r="Q29" s="5">
        <f t="shared" si="0"/>
        <v>23200</v>
      </c>
      <c r="R29" s="5">
        <f t="shared" si="1"/>
        <v>1494</v>
      </c>
      <c r="S29" s="5" t="str">
        <f t="shared" si="2"/>
        <v/>
      </c>
      <c r="T29" s="5"/>
      <c r="U29" s="5"/>
      <c r="V29" s="5"/>
      <c r="W29" s="5">
        <f t="shared" si="3"/>
        <v>0</v>
      </c>
      <c r="X29" s="5" t="str" cm="1">
        <f t="array" ref="X29">IFERROR(MEDIAN(_xlfn._xlws.FILTER($S$2:$S$209,($M$2:$M$209=U29)*($N$2:$N$209=V29)*($P$2:$P$209="Resale")*($S$2:$S$209&lt;&gt;""))),"")</f>
        <v/>
      </c>
      <c r="Y29" s="5">
        <f t="shared" si="5"/>
        <v>15.528781793842034</v>
      </c>
      <c r="Z29" s="5">
        <f t="shared" si="7"/>
        <v>0</v>
      </c>
      <c r="AA29" s="5" t="str" cm="1">
        <f t="array" ref="AA29">IF(Z29=0,"",MEDIAN(_xlfn._xlws.FILTER($Y$2:$Y$209,($M$2:$M$209=U29)*($N$2:$N$209=V29)*($P$2:$P$209="Long Term Rental")*($Y$2:$Y$209&lt;&gt;""),"")))</f>
        <v/>
      </c>
      <c r="AB29" s="5" t="str">
        <f t="shared" si="4"/>
        <v/>
      </c>
      <c r="AC29" s="5" t="str" cm="1">
        <f t="array" ref="AC29">IFERROR(MEDIAN(_xlfn._xlws.FILTER($Q$2:$Q$209,($M$2:$M$209=U29)*($P$2:$P$209="Short Term Rental")*($Q$2:$Q$209&lt;&gt;""))),"")</f>
        <v/>
      </c>
    </row>
    <row r="30" spans="1:29" ht="15" thickBot="1" x14ac:dyDescent="0.4">
      <c r="A30" s="1" t="s">
        <v>403</v>
      </c>
      <c r="B30" s="1" t="s">
        <v>404</v>
      </c>
      <c r="C30" s="1" t="s">
        <v>40</v>
      </c>
      <c r="D30" s="1" t="s">
        <v>15</v>
      </c>
      <c r="E30" s="1" t="s">
        <v>71</v>
      </c>
      <c r="F30" s="3">
        <v>2327</v>
      </c>
      <c r="G30" s="1" t="s">
        <v>30</v>
      </c>
      <c r="H30" s="3">
        <v>32400</v>
      </c>
      <c r="I30" s="1" t="s">
        <v>17</v>
      </c>
      <c r="J30" s="1" t="s">
        <v>57</v>
      </c>
      <c r="K30" s="1" t="s">
        <v>19</v>
      </c>
      <c r="L30" s="1"/>
      <c r="M30" s="5" t="str">
        <f>_xlfn.XLOOKUP(TRIM(C30),MAPPING!A:A,MAPPING!B:B,"CHECK")</f>
        <v>Karjat Town</v>
      </c>
      <c r="N30" s="5" t="str">
        <f>_xlfn.XLOOKUP(D30,MAPPING!G:G,MAPPING!H:H,"CHECK")</f>
        <v>Villa</v>
      </c>
      <c r="O30" s="5" t="str">
        <f>_xlfn.XLOOKUP(E30,MAPPING!J:J,MAPPING!K:K,"CHECK")</f>
        <v>2 BHK</v>
      </c>
      <c r="P30" s="5" t="str">
        <f>_xlfn.XLOOKUP(J30,MAPPING!M:M,MAPPING!N:N,"CHECK")</f>
        <v>Long Term Rental</v>
      </c>
      <c r="Q30" s="5">
        <f t="shared" si="0"/>
        <v>32400</v>
      </c>
      <c r="R30" s="5">
        <f t="shared" si="1"/>
        <v>2327</v>
      </c>
      <c r="S30" s="5" t="str">
        <f t="shared" si="2"/>
        <v/>
      </c>
      <c r="T30" s="5"/>
      <c r="U30" s="5"/>
      <c r="V30" s="5"/>
      <c r="W30" s="5">
        <f t="shared" si="3"/>
        <v>0</v>
      </c>
      <c r="X30" s="5" t="str" cm="1">
        <f t="array" ref="X30">IFERROR(MEDIAN(_xlfn._xlws.FILTER($S$2:$S$209,($M$2:$M$209=U30)*($N$2:$N$209=V30)*($P$2:$P$209="Resale")*($S$2:$S$209&lt;&gt;""))),"")</f>
        <v/>
      </c>
      <c r="Y30" s="5">
        <f t="shared" si="5"/>
        <v>13.923506660936829</v>
      </c>
      <c r="Z30" s="5">
        <f t="shared" si="7"/>
        <v>0</v>
      </c>
      <c r="AA30" s="5" t="str" cm="1">
        <f t="array" ref="AA30">IF(Z30=0,"",MEDIAN(_xlfn._xlws.FILTER($Y$2:$Y$209,($M$2:$M$209=U30)*($N$2:$N$209=V30)*($P$2:$P$209="Long Term Rental")*($Y$2:$Y$209&lt;&gt;""),"")))</f>
        <v/>
      </c>
      <c r="AB30" s="5" t="str">
        <f t="shared" si="4"/>
        <v/>
      </c>
      <c r="AC30" s="5" t="str" cm="1">
        <f t="array" ref="AC30">IFERROR(MEDIAN(_xlfn._xlws.FILTER($Q$2:$Q$209,($M$2:$M$209=U30)*($P$2:$P$209="Short Term Rental")*($Q$2:$Q$209&lt;&gt;""))),"")</f>
        <v/>
      </c>
    </row>
    <row r="31" spans="1:29" ht="15" thickBot="1" x14ac:dyDescent="0.4">
      <c r="A31" s="1" t="s">
        <v>255</v>
      </c>
      <c r="B31" s="1" t="s">
        <v>256</v>
      </c>
      <c r="C31" s="1" t="s">
        <v>91</v>
      </c>
      <c r="D31" s="2" t="s">
        <v>67</v>
      </c>
      <c r="E31" s="1" t="s">
        <v>16</v>
      </c>
      <c r="F31" s="3">
        <v>1857</v>
      </c>
      <c r="G31" s="1" t="s">
        <v>30</v>
      </c>
      <c r="H31" s="3">
        <v>28100</v>
      </c>
      <c r="I31" s="1" t="s">
        <v>17</v>
      </c>
      <c r="J31" s="1" t="s">
        <v>18</v>
      </c>
      <c r="K31" s="1" t="s">
        <v>19</v>
      </c>
      <c r="L31" s="1"/>
      <c r="M31" s="5" t="str">
        <f>_xlfn.XLOOKUP(TRIM(C31),MAPPING!A:A,MAPPING!B:B,"CHECK")</f>
        <v>Karjat Town</v>
      </c>
      <c r="N31" s="5" t="str">
        <f>_xlfn.XLOOKUP(D31,MAPPING!G:G,MAPPING!H:H,"CHECK")</f>
        <v>Villa</v>
      </c>
      <c r="O31" s="5" t="str">
        <f>_xlfn.XLOOKUP(E31,MAPPING!J:J,MAPPING!K:K,"CHECK")</f>
        <v>3 BHK</v>
      </c>
      <c r="P31" s="5" t="str">
        <f>_xlfn.XLOOKUP(J31,MAPPING!M:M,MAPPING!N:N,"CHECK")</f>
        <v>Short Term Rental</v>
      </c>
      <c r="Q31" s="5">
        <f t="shared" si="0"/>
        <v>28100</v>
      </c>
      <c r="R31" s="5">
        <f t="shared" si="1"/>
        <v>1857</v>
      </c>
      <c r="S31" s="5" t="str">
        <f t="shared" si="2"/>
        <v/>
      </c>
      <c r="T31" s="5"/>
      <c r="U31" s="5"/>
      <c r="V31" s="5"/>
      <c r="W31" s="5">
        <f t="shared" si="3"/>
        <v>0</v>
      </c>
      <c r="X31" s="5" t="str" cm="1">
        <f t="array" ref="X31">IFERROR(MEDIAN(_xlfn._xlws.FILTER($S$2:$S$209,($M$2:$M$209=U31)*($N$2:$N$209=V31)*($P$2:$P$209="Resale")*($S$2:$S$209&lt;&gt;""))),"")</f>
        <v/>
      </c>
      <c r="Y31" s="5" t="str">
        <f t="shared" si="5"/>
        <v/>
      </c>
      <c r="Z31" s="5">
        <f t="shared" si="7"/>
        <v>0</v>
      </c>
      <c r="AA31" s="5" t="str" cm="1">
        <f t="array" ref="AA31">IF(Z31=0,"",MEDIAN(_xlfn._xlws.FILTER($Y$2:$Y$209,($M$2:$M$209=U31)*($N$2:$N$209=V31)*($P$2:$P$209="Long Term Rental")*($Y$2:$Y$209&lt;&gt;""),"")))</f>
        <v/>
      </c>
      <c r="AB31" s="5" t="str">
        <f t="shared" si="4"/>
        <v/>
      </c>
      <c r="AC31" s="5" t="str" cm="1">
        <f t="array" ref="AC31">IFERROR(MEDIAN(_xlfn._xlws.FILTER($Q$2:$Q$209,($M$2:$M$209=U31)*($P$2:$P$209="Short Term Rental")*($Q$2:$Q$209&lt;&gt;""))),"")</f>
        <v/>
      </c>
    </row>
    <row r="32" spans="1:29" ht="15" thickBot="1" x14ac:dyDescent="0.4">
      <c r="A32" s="1" t="s">
        <v>364</v>
      </c>
      <c r="B32" s="1" t="s">
        <v>365</v>
      </c>
      <c r="C32" s="1" t="s">
        <v>60</v>
      </c>
      <c r="D32" s="1" t="s">
        <v>15</v>
      </c>
      <c r="E32" s="1" t="s">
        <v>35</v>
      </c>
      <c r="F32" s="3">
        <v>1286</v>
      </c>
      <c r="G32" s="1" t="s">
        <v>30</v>
      </c>
      <c r="H32" s="3">
        <v>17100</v>
      </c>
      <c r="I32" s="1" t="s">
        <v>17</v>
      </c>
      <c r="J32" s="1" t="s">
        <v>57</v>
      </c>
      <c r="K32" s="1" t="s">
        <v>19</v>
      </c>
      <c r="L32" s="1"/>
      <c r="M32" s="5" t="str">
        <f>_xlfn.XLOOKUP(TRIM(C32),MAPPING!A:A,MAPPING!B:B,"CHECK")</f>
        <v>Karjat Town</v>
      </c>
      <c r="N32" s="5" t="str">
        <f>_xlfn.XLOOKUP(D32,MAPPING!G:G,MAPPING!H:H,"CHECK")</f>
        <v>Villa</v>
      </c>
      <c r="O32" s="5" t="str">
        <f>_xlfn.XLOOKUP(E32,MAPPING!J:J,MAPPING!K:K,"CHECK")</f>
        <v>3 BHK</v>
      </c>
      <c r="P32" s="5" t="str">
        <f>_xlfn.XLOOKUP(J32,MAPPING!M:M,MAPPING!N:N,"CHECK")</f>
        <v>Long Term Rental</v>
      </c>
      <c r="Q32" s="5">
        <f t="shared" si="0"/>
        <v>17100</v>
      </c>
      <c r="R32" s="5">
        <f t="shared" si="1"/>
        <v>1286</v>
      </c>
      <c r="S32" s="5" t="str">
        <f t="shared" si="2"/>
        <v/>
      </c>
      <c r="T32" s="5"/>
      <c r="U32" s="5"/>
      <c r="V32" s="5"/>
      <c r="W32" s="5">
        <f t="shared" si="3"/>
        <v>0</v>
      </c>
      <c r="X32" s="5" t="str" cm="1">
        <f t="array" ref="X32">IFERROR(MEDIAN(_xlfn._xlws.FILTER($S$2:$S$209,($M$2:$M$209=U32)*($N$2:$N$209=V32)*($P$2:$P$209="Resale")*($S$2:$S$209&lt;&gt;""))),"")</f>
        <v/>
      </c>
      <c r="Y32" s="5">
        <f t="shared" si="5"/>
        <v>13.297045101088647</v>
      </c>
      <c r="Z32" s="5">
        <f t="shared" si="7"/>
        <v>0</v>
      </c>
      <c r="AA32" s="5" t="str" cm="1">
        <f t="array" ref="AA32">IF(Z32=0,"",MEDIAN(_xlfn._xlws.FILTER($Y$2:$Y$209,($M$2:$M$209=U32)*($N$2:$N$209=V32)*($P$2:$P$209="Long Term Rental")*($Y$2:$Y$209&lt;&gt;""),"")))</f>
        <v/>
      </c>
      <c r="AB32" s="5" t="str">
        <f t="shared" si="4"/>
        <v/>
      </c>
      <c r="AC32" s="5" t="str" cm="1">
        <f t="array" ref="AC32">IFERROR(MEDIAN(_xlfn._xlws.FILTER($Q$2:$Q$209,($M$2:$M$209=U32)*($P$2:$P$209="Short Term Rental")*($Q$2:$Q$209&lt;&gt;""))),"")</f>
        <v/>
      </c>
    </row>
    <row r="33" spans="1:29" ht="15" thickBot="1" x14ac:dyDescent="0.4">
      <c r="A33" s="1" t="s">
        <v>329</v>
      </c>
      <c r="B33" s="1" t="s">
        <v>330</v>
      </c>
      <c r="C33" s="1" t="s">
        <v>185</v>
      </c>
      <c r="D33" s="1" t="s">
        <v>34</v>
      </c>
      <c r="E33" s="1" t="s">
        <v>29</v>
      </c>
      <c r="F33" s="3">
        <v>2116</v>
      </c>
      <c r="G33" s="1" t="s">
        <v>30</v>
      </c>
      <c r="H33" s="3">
        <v>31200</v>
      </c>
      <c r="I33" s="1" t="s">
        <v>17</v>
      </c>
      <c r="J33" s="1" t="s">
        <v>57</v>
      </c>
      <c r="K33" s="1" t="s">
        <v>19</v>
      </c>
      <c r="L33" s="1"/>
      <c r="M33" s="5" t="str">
        <f>_xlfn.XLOOKUP(TRIM(C33),MAPPING!A:A,MAPPING!B:B,"CHECK")</f>
        <v>Karjat Town</v>
      </c>
      <c r="N33" s="5" t="str">
        <f>_xlfn.XLOOKUP(D33,MAPPING!G:G,MAPPING!H:H,"CHECK")</f>
        <v>Villa</v>
      </c>
      <c r="O33" s="5" t="str">
        <f>_xlfn.XLOOKUP(E33,MAPPING!J:J,MAPPING!K:K,"CHECK")</f>
        <v>4 BHK</v>
      </c>
      <c r="P33" s="5" t="str">
        <f>_xlfn.XLOOKUP(J33,MAPPING!M:M,MAPPING!N:N,"CHECK")</f>
        <v>Long Term Rental</v>
      </c>
      <c r="Q33" s="5">
        <f t="shared" si="0"/>
        <v>31200</v>
      </c>
      <c r="R33" s="5">
        <f t="shared" si="1"/>
        <v>2116</v>
      </c>
      <c r="S33" s="5" t="str">
        <f t="shared" si="2"/>
        <v/>
      </c>
      <c r="T33" s="5"/>
      <c r="U33" s="5"/>
      <c r="V33" s="5"/>
      <c r="W33" s="5">
        <f t="shared" si="3"/>
        <v>0</v>
      </c>
      <c r="X33" s="5" t="str" cm="1">
        <f t="array" ref="X33">IFERROR(MEDIAN(_xlfn._xlws.FILTER($S$2:$S$209,($M$2:$M$209=U33)*($N$2:$N$209=V33)*($P$2:$P$209="Resale")*($S$2:$S$209&lt;&gt;""))),"")</f>
        <v/>
      </c>
      <c r="Y33" s="5">
        <f t="shared" si="5"/>
        <v>14.744801512287335</v>
      </c>
      <c r="Z33" s="5">
        <f t="shared" si="7"/>
        <v>0</v>
      </c>
      <c r="AA33" s="5" t="str" cm="1">
        <f t="array" ref="AA33">IF(Z33=0,"",MEDIAN(_xlfn._xlws.FILTER($Y$2:$Y$209,($M$2:$M$209=U33)*($N$2:$N$209=V33)*($P$2:$P$209="Long Term Rental")*($Y$2:$Y$209&lt;&gt;""),"")))</f>
        <v/>
      </c>
      <c r="AB33" s="5" t="str">
        <f t="shared" si="4"/>
        <v/>
      </c>
      <c r="AC33" s="5" t="str" cm="1">
        <f t="array" ref="AC33">IFERROR(MEDIAN(_xlfn._xlws.FILTER($Q$2:$Q$209,($M$2:$M$209=U33)*($P$2:$P$209="Short Term Rental")*($Q$2:$Q$209&lt;&gt;""))),"")</f>
        <v/>
      </c>
    </row>
    <row r="34" spans="1:29" ht="15" thickBot="1" x14ac:dyDescent="0.4">
      <c r="A34" s="1" t="s">
        <v>58</v>
      </c>
      <c r="B34" s="1" t="s">
        <v>59</v>
      </c>
      <c r="C34" s="1" t="s">
        <v>60</v>
      </c>
      <c r="D34" s="1" t="s">
        <v>47</v>
      </c>
      <c r="E34" s="1" t="s">
        <v>16</v>
      </c>
      <c r="F34" s="3">
        <v>1621</v>
      </c>
      <c r="G34" s="1" t="s">
        <v>30</v>
      </c>
      <c r="H34" s="3">
        <v>23600</v>
      </c>
      <c r="I34" s="1" t="s">
        <v>17</v>
      </c>
      <c r="J34" s="1" t="s">
        <v>57</v>
      </c>
      <c r="K34" s="1" t="s">
        <v>19</v>
      </c>
      <c r="L34" s="1"/>
      <c r="M34" s="5" t="str">
        <f>_xlfn.XLOOKUP(TRIM(C34),MAPPING!A:A,MAPPING!B:B,"CHECK")</f>
        <v>Karjat Town</v>
      </c>
      <c r="N34" s="5" t="str">
        <f>_xlfn.XLOOKUP(D34,MAPPING!G:G,MAPPING!H:H,"CHECK")</f>
        <v>Villa</v>
      </c>
      <c r="O34" s="5" t="str">
        <f>_xlfn.XLOOKUP(E34,MAPPING!J:J,MAPPING!K:K,"CHECK")</f>
        <v>3 BHK</v>
      </c>
      <c r="P34" s="5" t="str">
        <f>_xlfn.XLOOKUP(J34,MAPPING!M:M,MAPPING!N:N,"CHECK")</f>
        <v>Long Term Rental</v>
      </c>
      <c r="Q34" s="5">
        <f t="shared" si="0"/>
        <v>23600</v>
      </c>
      <c r="R34" s="5">
        <f t="shared" si="1"/>
        <v>1621</v>
      </c>
      <c r="S34" s="5" t="str">
        <f t="shared" si="2"/>
        <v/>
      </c>
      <c r="T34" s="5"/>
      <c r="U34" s="5"/>
      <c r="V34" s="5"/>
      <c r="W34" s="5">
        <f t="shared" si="3"/>
        <v>0</v>
      </c>
      <c r="X34" s="5" t="str" cm="1">
        <f t="array" ref="X34">IFERROR(MEDIAN(_xlfn._xlws.FILTER($S$2:$S$209,($M$2:$M$209=U34)*($N$2:$N$209=V34)*($P$2:$P$209="Resale")*($S$2:$S$209&lt;&gt;""))),"")</f>
        <v/>
      </c>
      <c r="Y34" s="5">
        <f t="shared" si="5"/>
        <v>14.558914250462678</v>
      </c>
      <c r="Z34" s="5">
        <f t="shared" si="7"/>
        <v>0</v>
      </c>
      <c r="AA34" s="5" t="str" cm="1">
        <f t="array" ref="AA34">IF(Z34=0,"",MEDIAN(_xlfn._xlws.FILTER($Y$2:$Y$209,($M$2:$M$209=U34)*($N$2:$N$209=V34)*($P$2:$P$209="Long Term Rental")*($Y$2:$Y$209&lt;&gt;""),"")))</f>
        <v/>
      </c>
      <c r="AB34" s="5" t="str">
        <f t="shared" si="4"/>
        <v/>
      </c>
      <c r="AC34" s="5" t="str" cm="1">
        <f t="array" ref="AC34">IFERROR(MEDIAN(_xlfn._xlws.FILTER($Q$2:$Q$209,($M$2:$M$209=U34)*($P$2:$P$209="Short Term Rental")*($Q$2:$Q$209&lt;&gt;""))),"")</f>
        <v/>
      </c>
    </row>
    <row r="35" spans="1:29" ht="15" thickBot="1" x14ac:dyDescent="0.4">
      <c r="A35" s="1" t="s">
        <v>324</v>
      </c>
      <c r="B35" s="2" t="s">
        <v>163</v>
      </c>
      <c r="C35" s="1" t="s">
        <v>99</v>
      </c>
      <c r="D35" s="1" t="s">
        <v>15</v>
      </c>
      <c r="E35" s="1" t="s">
        <v>16</v>
      </c>
      <c r="F35" s="1"/>
      <c r="G35" s="1"/>
      <c r="H35" s="3">
        <v>8300</v>
      </c>
      <c r="I35" s="1" t="s">
        <v>17</v>
      </c>
      <c r="J35" s="1" t="s">
        <v>18</v>
      </c>
      <c r="K35" s="1" t="s">
        <v>19</v>
      </c>
      <c r="L35" s="1" t="s">
        <v>20</v>
      </c>
      <c r="M35" s="5" t="str">
        <f>_xlfn.XLOOKUP(TRIM(C35),MAPPING!A:A,MAPPING!B:B,"CHECK")</f>
        <v>Karjat Town</v>
      </c>
      <c r="N35" s="5" t="str">
        <f>_xlfn.XLOOKUP(D35,MAPPING!G:G,MAPPING!H:H,"CHECK")</f>
        <v>Villa</v>
      </c>
      <c r="O35" s="5" t="str">
        <f>_xlfn.XLOOKUP(E35,MAPPING!J:J,MAPPING!K:K,"CHECK")</f>
        <v>3 BHK</v>
      </c>
      <c r="P35" s="5" t="str">
        <f>_xlfn.XLOOKUP(J35,MAPPING!M:M,MAPPING!N:N,"CHECK")</f>
        <v>Short Term Rental</v>
      </c>
      <c r="Q35" s="5">
        <f t="shared" si="0"/>
        <v>8300</v>
      </c>
      <c r="R35" s="5" t="str">
        <f t="shared" si="1"/>
        <v/>
      </c>
      <c r="S35" s="5" t="str">
        <f t="shared" si="2"/>
        <v/>
      </c>
      <c r="T35" s="5"/>
      <c r="U35" s="5"/>
      <c r="V35" s="5"/>
      <c r="W35" s="5">
        <f t="shared" si="3"/>
        <v>0</v>
      </c>
      <c r="X35" s="5" t="str" cm="1">
        <f t="array" ref="X35">IFERROR(MEDIAN(_xlfn._xlws.FILTER($S$2:$S$209,($M$2:$M$209=U35)*($N$2:$N$209=V35)*($P$2:$P$209="Resale")*($S$2:$S$209&lt;&gt;""))),"")</f>
        <v/>
      </c>
      <c r="Y35" s="5" t="str">
        <f t="shared" si="5"/>
        <v/>
      </c>
      <c r="Z35" s="5">
        <f t="shared" si="7"/>
        <v>0</v>
      </c>
      <c r="AA35" s="5" t="str" cm="1">
        <f t="array" ref="AA35">IF(Z35=0,"",MEDIAN(_xlfn._xlws.FILTER($Y$2:$Y$209,($M$2:$M$209=U35)*($N$2:$N$209=V35)*($P$2:$P$209="Long Term Rental")*($Y$2:$Y$209&lt;&gt;""),"")))</f>
        <v/>
      </c>
      <c r="AB35" s="5" t="str">
        <f t="shared" si="4"/>
        <v/>
      </c>
      <c r="AC35" s="5" t="str" cm="1">
        <f t="array" ref="AC35">IFERROR(MEDIAN(_xlfn._xlws.FILTER($Q$2:$Q$209,($M$2:$M$209=U35)*($P$2:$P$209="Short Term Rental")*($Q$2:$Q$209&lt;&gt;""))),"")</f>
        <v/>
      </c>
    </row>
    <row r="36" spans="1:29" ht="15" thickBot="1" x14ac:dyDescent="0.4">
      <c r="A36" s="1" t="s">
        <v>189</v>
      </c>
      <c r="B36" s="2" t="s">
        <v>190</v>
      </c>
      <c r="C36" s="1" t="s">
        <v>40</v>
      </c>
      <c r="D36" s="1" t="s">
        <v>15</v>
      </c>
      <c r="E36" s="1" t="s">
        <v>48</v>
      </c>
      <c r="F36" s="1"/>
      <c r="G36" s="1"/>
      <c r="H36" s="3">
        <v>7500</v>
      </c>
      <c r="I36" s="1" t="s">
        <v>17</v>
      </c>
      <c r="J36" s="1" t="s">
        <v>18</v>
      </c>
      <c r="K36" s="1" t="s">
        <v>19</v>
      </c>
      <c r="L36" s="1" t="s">
        <v>20</v>
      </c>
      <c r="M36" s="5" t="str">
        <f>_xlfn.XLOOKUP(TRIM(C36),MAPPING!A:A,MAPPING!B:B,"CHECK")</f>
        <v>Karjat Town</v>
      </c>
      <c r="N36" s="5" t="str">
        <f>_xlfn.XLOOKUP(D36,MAPPING!G:G,MAPPING!H:H,"CHECK")</f>
        <v>Villa</v>
      </c>
      <c r="O36" s="5" t="str">
        <f>_xlfn.XLOOKUP(E36,MAPPING!J:J,MAPPING!K:K,"CHECK")</f>
        <v>2 BHK</v>
      </c>
      <c r="P36" s="5" t="str">
        <f>_xlfn.XLOOKUP(J36,MAPPING!M:M,MAPPING!N:N,"CHECK")</f>
        <v>Short Term Rental</v>
      </c>
      <c r="Q36" s="5">
        <f t="shared" si="0"/>
        <v>7500</v>
      </c>
      <c r="R36" s="5" t="str">
        <f t="shared" si="1"/>
        <v/>
      </c>
      <c r="S36" s="5" t="str">
        <f t="shared" si="2"/>
        <v/>
      </c>
      <c r="T36" s="5"/>
      <c r="U36" s="5"/>
      <c r="V36" s="5"/>
      <c r="W36" s="5">
        <f t="shared" si="3"/>
        <v>0</v>
      </c>
      <c r="X36" s="5" t="str" cm="1">
        <f t="array" ref="X36">IFERROR(MEDIAN(_xlfn._xlws.FILTER($S$2:$S$209,($M$2:$M$209=U36)*($N$2:$N$209=V36)*($P$2:$P$209="Resale")*($S$2:$S$209&lt;&gt;""))),"")</f>
        <v/>
      </c>
      <c r="Y36" s="5" t="str">
        <f t="shared" si="5"/>
        <v/>
      </c>
      <c r="Z36" s="5">
        <f t="shared" si="7"/>
        <v>0</v>
      </c>
      <c r="AA36" s="5" t="str" cm="1">
        <f t="array" ref="AA36">IF(Z36=0,"",MEDIAN(_xlfn._xlws.FILTER($Y$2:$Y$209,($M$2:$M$209=U36)*($N$2:$N$209=V36)*($P$2:$P$209="Long Term Rental")*($Y$2:$Y$209&lt;&gt;""),"")))</f>
        <v/>
      </c>
      <c r="AB36" s="5" t="str">
        <f t="shared" si="4"/>
        <v/>
      </c>
      <c r="AC36" s="5" t="str" cm="1">
        <f t="array" ref="AC36">IFERROR(MEDIAN(_xlfn._xlws.FILTER($Q$2:$Q$209,($M$2:$M$209=U36)*($P$2:$P$209="Short Term Rental")*($Q$2:$Q$209&lt;&gt;""))),"")</f>
        <v/>
      </c>
    </row>
    <row r="37" spans="1:29" ht="15" thickBot="1" x14ac:dyDescent="0.4">
      <c r="A37" s="1" t="s">
        <v>136</v>
      </c>
      <c r="B37" s="1" t="s">
        <v>137</v>
      </c>
      <c r="C37" s="1" t="s">
        <v>40</v>
      </c>
      <c r="D37" s="1" t="s">
        <v>47</v>
      </c>
      <c r="E37" s="1" t="s">
        <v>25</v>
      </c>
      <c r="F37" s="1"/>
      <c r="G37" s="1"/>
      <c r="H37" s="3">
        <v>8900</v>
      </c>
      <c r="I37" s="1" t="s">
        <v>17</v>
      </c>
      <c r="J37" s="1" t="s">
        <v>18</v>
      </c>
      <c r="K37" s="1" t="s">
        <v>19</v>
      </c>
      <c r="L37" s="1" t="s">
        <v>20</v>
      </c>
      <c r="M37" s="5" t="str">
        <f>_xlfn.XLOOKUP(TRIM(C37),MAPPING!A:A,MAPPING!B:B,"CHECK")</f>
        <v>Karjat Town</v>
      </c>
      <c r="N37" s="5" t="str">
        <f>_xlfn.XLOOKUP(D37,MAPPING!G:G,MAPPING!H:H,"CHECK")</f>
        <v>Villa</v>
      </c>
      <c r="O37" s="5" t="str">
        <f>_xlfn.XLOOKUP(E37,MAPPING!J:J,MAPPING!K:K,"CHECK")</f>
        <v>3 BHK</v>
      </c>
      <c r="P37" s="5" t="str">
        <f>_xlfn.XLOOKUP(J37,MAPPING!M:M,MAPPING!N:N,"CHECK")</f>
        <v>Short Term Rental</v>
      </c>
      <c r="Q37" s="5">
        <f t="shared" si="0"/>
        <v>8900</v>
      </c>
      <c r="R37" s="5" t="str">
        <f t="shared" si="1"/>
        <v/>
      </c>
      <c r="S37" s="5" t="str">
        <f t="shared" si="2"/>
        <v/>
      </c>
      <c r="T37" s="5"/>
      <c r="U37" s="5"/>
      <c r="V37" s="5"/>
      <c r="W37" s="5">
        <f t="shared" si="3"/>
        <v>0</v>
      </c>
      <c r="X37" s="5" t="str" cm="1">
        <f t="array" ref="X37">IFERROR(MEDIAN(_xlfn._xlws.FILTER($S$2:$S$209,($M$2:$M$209=U37)*($N$2:$N$209=V37)*($P$2:$P$209="Resale")*($S$2:$S$209&lt;&gt;""))),"")</f>
        <v/>
      </c>
      <c r="Y37" s="5" t="str">
        <f t="shared" si="5"/>
        <v/>
      </c>
      <c r="Z37" s="5">
        <f t="shared" si="7"/>
        <v>0</v>
      </c>
      <c r="AA37" s="5" t="str" cm="1">
        <f t="array" ref="AA37">IF(Z37=0,"",MEDIAN(_xlfn._xlws.FILTER($Y$2:$Y$209,($M$2:$M$209=U37)*($N$2:$N$209=V37)*($P$2:$P$209="Long Term Rental")*($Y$2:$Y$209&lt;&gt;""),"")))</f>
        <v/>
      </c>
      <c r="AB37" s="5" t="str">
        <f t="shared" si="4"/>
        <v/>
      </c>
      <c r="AC37" s="5" t="str" cm="1">
        <f t="array" ref="AC37">IFERROR(MEDIAN(_xlfn._xlws.FILTER($Q$2:$Q$209,($M$2:$M$209=U37)*($P$2:$P$209="Short Term Rental")*($Q$2:$Q$209&lt;&gt;""))),"")</f>
        <v/>
      </c>
    </row>
    <row r="38" spans="1:29" ht="15" thickBot="1" x14ac:dyDescent="0.4">
      <c r="A38" s="1" t="s">
        <v>381</v>
      </c>
      <c r="B38" s="1" t="s">
        <v>382</v>
      </c>
      <c r="C38" s="1" t="s">
        <v>91</v>
      </c>
      <c r="D38" s="1" t="s">
        <v>24</v>
      </c>
      <c r="E38" s="1" t="s">
        <v>35</v>
      </c>
      <c r="F38" s="1"/>
      <c r="G38" s="1"/>
      <c r="H38" s="3">
        <v>6300</v>
      </c>
      <c r="I38" s="1" t="s">
        <v>17</v>
      </c>
      <c r="J38" s="1" t="s">
        <v>18</v>
      </c>
      <c r="K38" s="1" t="s">
        <v>19</v>
      </c>
      <c r="L38" s="1" t="s">
        <v>20</v>
      </c>
      <c r="M38" s="5" t="str">
        <f>_xlfn.XLOOKUP(TRIM(C38),MAPPING!A:A,MAPPING!B:B,"CHECK")</f>
        <v>Karjat Town</v>
      </c>
      <c r="N38" s="5" t="str">
        <f>_xlfn.XLOOKUP(D38,MAPPING!G:G,MAPPING!H:H,"CHECK")</f>
        <v>Villa</v>
      </c>
      <c r="O38" s="5" t="str">
        <f>_xlfn.XLOOKUP(E38,MAPPING!J:J,MAPPING!K:K,"CHECK")</f>
        <v>3 BHK</v>
      </c>
      <c r="P38" s="5" t="str">
        <f>_xlfn.XLOOKUP(J38,MAPPING!M:M,MAPPING!N:N,"CHECK")</f>
        <v>Short Term Rental</v>
      </c>
      <c r="Q38" s="5">
        <f t="shared" si="0"/>
        <v>6300</v>
      </c>
      <c r="R38" s="5" t="str">
        <f t="shared" si="1"/>
        <v/>
      </c>
      <c r="S38" s="5" t="str">
        <f t="shared" si="2"/>
        <v/>
      </c>
      <c r="T38" s="5"/>
      <c r="U38" s="5"/>
      <c r="V38" s="5"/>
      <c r="W38" s="5">
        <f t="shared" si="3"/>
        <v>0</v>
      </c>
      <c r="X38" s="5" t="str" cm="1">
        <f t="array" ref="X38">IFERROR(MEDIAN(_xlfn._xlws.FILTER($S$2:$S$209,($M$2:$M$209=U38)*($N$2:$N$209=V38)*($P$2:$P$209="Resale")*($S$2:$S$209&lt;&gt;""))),"")</f>
        <v/>
      </c>
      <c r="Y38" s="5" t="str">
        <f t="shared" si="5"/>
        <v/>
      </c>
      <c r="Z38" s="5">
        <f t="shared" si="7"/>
        <v>0</v>
      </c>
      <c r="AA38" s="5" t="str" cm="1">
        <f t="array" ref="AA38">IF(Z38=0,"",MEDIAN(_xlfn._xlws.FILTER($Y$2:$Y$209,($M$2:$M$209=U38)*($N$2:$N$209=V38)*($P$2:$P$209="Long Term Rental")*($Y$2:$Y$209&lt;&gt;""),"")))</f>
        <v/>
      </c>
      <c r="AB38" s="5" t="str">
        <f t="shared" si="4"/>
        <v/>
      </c>
      <c r="AC38" s="5" t="str" cm="1">
        <f t="array" ref="AC38">IFERROR(MEDIAN(_xlfn._xlws.FILTER($Q$2:$Q$209,($M$2:$M$209=U38)*($P$2:$P$209="Short Term Rental")*($Q$2:$Q$209&lt;&gt;""))),"")</f>
        <v/>
      </c>
    </row>
    <row r="39" spans="1:29" ht="15" thickBot="1" x14ac:dyDescent="0.4">
      <c r="A39" s="1" t="s">
        <v>239</v>
      </c>
      <c r="B39" s="2" t="s">
        <v>240</v>
      </c>
      <c r="C39" s="1" t="s">
        <v>60</v>
      </c>
      <c r="D39" s="1" t="s">
        <v>15</v>
      </c>
      <c r="E39" s="1" t="s">
        <v>71</v>
      </c>
      <c r="F39" s="1"/>
      <c r="G39" s="1"/>
      <c r="H39" s="3">
        <v>5000</v>
      </c>
      <c r="I39" s="1" t="s">
        <v>17</v>
      </c>
      <c r="J39" s="1" t="s">
        <v>18</v>
      </c>
      <c r="K39" s="1" t="s">
        <v>19</v>
      </c>
      <c r="L39" s="1" t="s">
        <v>20</v>
      </c>
      <c r="M39" s="5" t="str">
        <f>_xlfn.XLOOKUP(TRIM(C39),MAPPING!A:A,MAPPING!B:B,"CHECK")</f>
        <v>Karjat Town</v>
      </c>
      <c r="N39" s="5" t="str">
        <f>_xlfn.XLOOKUP(D39,MAPPING!G:G,MAPPING!H:H,"CHECK")</f>
        <v>Villa</v>
      </c>
      <c r="O39" s="5" t="str">
        <f>_xlfn.XLOOKUP(E39,MAPPING!J:J,MAPPING!K:K,"CHECK")</f>
        <v>2 BHK</v>
      </c>
      <c r="P39" s="5" t="str">
        <f>_xlfn.XLOOKUP(J39,MAPPING!M:M,MAPPING!N:N,"CHECK")</f>
        <v>Short Term Rental</v>
      </c>
      <c r="Q39" s="5">
        <f t="shared" si="0"/>
        <v>5000</v>
      </c>
      <c r="R39" s="5" t="str">
        <f t="shared" si="1"/>
        <v/>
      </c>
      <c r="S39" s="5" t="str">
        <f t="shared" si="2"/>
        <v/>
      </c>
      <c r="T39" s="5"/>
      <c r="U39" s="5"/>
      <c r="V39" s="5"/>
      <c r="W39" s="5">
        <f t="shared" si="3"/>
        <v>0</v>
      </c>
      <c r="X39" s="5" t="str" cm="1">
        <f t="array" ref="X39">IFERROR(MEDIAN(_xlfn._xlws.FILTER($S$2:$S$209,($M$2:$M$209=U39)*($N$2:$N$209=V39)*($P$2:$P$209="Resale")*($S$2:$S$209&lt;&gt;""))),"")</f>
        <v/>
      </c>
      <c r="Y39" s="5" t="str">
        <f t="shared" si="5"/>
        <v/>
      </c>
      <c r="Z39" s="5">
        <f t="shared" si="7"/>
        <v>0</v>
      </c>
      <c r="AA39" s="5" t="str" cm="1">
        <f t="array" ref="AA39">IF(Z39=0,"",MEDIAN(_xlfn._xlws.FILTER($Y$2:$Y$209,($M$2:$M$209=U39)*($N$2:$N$209=V39)*($P$2:$P$209="Long Term Rental")*($Y$2:$Y$209&lt;&gt;""),"")))</f>
        <v/>
      </c>
      <c r="AB39" s="5" t="str">
        <f t="shared" si="4"/>
        <v/>
      </c>
      <c r="AC39" s="5" t="str" cm="1">
        <f t="array" ref="AC39">IFERROR(MEDIAN(_xlfn._xlws.FILTER($Q$2:$Q$209,($M$2:$M$209=U39)*($P$2:$P$209="Short Term Rental")*($Q$2:$Q$209&lt;&gt;""))),"")</f>
        <v/>
      </c>
    </row>
    <row r="40" spans="1:29" ht="15" thickBot="1" x14ac:dyDescent="0.4">
      <c r="A40" s="1" t="s">
        <v>228</v>
      </c>
      <c r="B40" s="2" t="s">
        <v>229</v>
      </c>
      <c r="C40" s="1" t="s">
        <v>60</v>
      </c>
      <c r="D40" s="1" t="s">
        <v>47</v>
      </c>
      <c r="E40" s="1" t="s">
        <v>71</v>
      </c>
      <c r="F40" s="1"/>
      <c r="G40" s="1"/>
      <c r="H40" s="3">
        <v>3700</v>
      </c>
      <c r="I40" s="1" t="s">
        <v>17</v>
      </c>
      <c r="J40" s="1" t="s">
        <v>18</v>
      </c>
      <c r="K40" s="1" t="s">
        <v>19</v>
      </c>
      <c r="L40" s="1" t="s">
        <v>20</v>
      </c>
      <c r="M40" s="5" t="str">
        <f>_xlfn.XLOOKUP(TRIM(C40),MAPPING!A:A,MAPPING!B:B,"CHECK")</f>
        <v>Karjat Town</v>
      </c>
      <c r="N40" s="5" t="str">
        <f>_xlfn.XLOOKUP(D40,MAPPING!G:G,MAPPING!H:H,"CHECK")</f>
        <v>Villa</v>
      </c>
      <c r="O40" s="5" t="str">
        <f>_xlfn.XLOOKUP(E40,MAPPING!J:J,MAPPING!K:K,"CHECK")</f>
        <v>2 BHK</v>
      </c>
      <c r="P40" s="5" t="str">
        <f>_xlfn.XLOOKUP(J40,MAPPING!M:M,MAPPING!N:N,"CHECK")</f>
        <v>Short Term Rental</v>
      </c>
      <c r="Q40" s="5">
        <f t="shared" si="0"/>
        <v>3700</v>
      </c>
      <c r="R40" s="5" t="str">
        <f t="shared" si="1"/>
        <v/>
      </c>
      <c r="S40" s="5" t="str">
        <f t="shared" si="2"/>
        <v/>
      </c>
      <c r="T40" s="5"/>
      <c r="U40" s="5"/>
      <c r="V40" s="5"/>
      <c r="W40" s="5">
        <f t="shared" si="3"/>
        <v>0</v>
      </c>
      <c r="X40" s="5" t="str" cm="1">
        <f t="array" ref="X40">IFERROR(MEDIAN(_xlfn._xlws.FILTER($S$2:$S$209,($M$2:$M$209=U40)*($N$2:$N$209=V40)*($P$2:$P$209="Resale")*($S$2:$S$209&lt;&gt;""))),"")</f>
        <v/>
      </c>
      <c r="Y40" s="5" t="str">
        <f t="shared" si="5"/>
        <v/>
      </c>
      <c r="Z40" s="5">
        <f t="shared" si="7"/>
        <v>0</v>
      </c>
      <c r="AA40" s="5" t="str" cm="1">
        <f t="array" ref="AA40">IF(Z40=0,"",MEDIAN(_xlfn._xlws.FILTER($Y$2:$Y$209,($M$2:$M$209=U40)*($N$2:$N$209=V40)*($P$2:$P$209="Long Term Rental")*($Y$2:$Y$209&lt;&gt;""),"")))</f>
        <v/>
      </c>
      <c r="AB40" s="5" t="str">
        <f t="shared" si="4"/>
        <v/>
      </c>
      <c r="AC40" s="5" t="str" cm="1">
        <f t="array" ref="AC40">IFERROR(MEDIAN(_xlfn._xlws.FILTER($Q$2:$Q$209,($M$2:$M$209=U40)*($P$2:$P$209="Short Term Rental")*($Q$2:$Q$209&lt;&gt;""))),"")</f>
        <v/>
      </c>
    </row>
    <row r="41" spans="1:29" ht="15" thickBot="1" x14ac:dyDescent="0.4">
      <c r="A41" s="1" t="s">
        <v>440</v>
      </c>
      <c r="B41" s="2" t="s">
        <v>441</v>
      </c>
      <c r="C41" s="1" t="s">
        <v>40</v>
      </c>
      <c r="D41" s="1" t="s">
        <v>15</v>
      </c>
      <c r="E41" s="1" t="s">
        <v>25</v>
      </c>
      <c r="F41" s="1"/>
      <c r="G41" s="1"/>
      <c r="H41" s="3">
        <v>4300</v>
      </c>
      <c r="I41" s="1" t="s">
        <v>17</v>
      </c>
      <c r="J41" s="1" t="s">
        <v>18</v>
      </c>
      <c r="K41" s="1" t="s">
        <v>19</v>
      </c>
      <c r="L41" s="1" t="s">
        <v>20</v>
      </c>
      <c r="M41" s="5" t="str">
        <f>_xlfn.XLOOKUP(TRIM(C41),MAPPING!A:A,MAPPING!B:B,"CHECK")</f>
        <v>Karjat Town</v>
      </c>
      <c r="N41" s="5" t="str">
        <f>_xlfn.XLOOKUP(D41,MAPPING!G:G,MAPPING!H:H,"CHECK")</f>
        <v>Villa</v>
      </c>
      <c r="O41" s="5" t="str">
        <f>_xlfn.XLOOKUP(E41,MAPPING!J:J,MAPPING!K:K,"CHECK")</f>
        <v>3 BHK</v>
      </c>
      <c r="P41" s="5" t="str">
        <f>_xlfn.XLOOKUP(J41,MAPPING!M:M,MAPPING!N:N,"CHECK")</f>
        <v>Short Term Rental</v>
      </c>
      <c r="Q41" s="5">
        <f t="shared" si="0"/>
        <v>4300</v>
      </c>
      <c r="R41" s="5" t="str">
        <f t="shared" si="1"/>
        <v/>
      </c>
      <c r="S41" s="5" t="str">
        <f t="shared" si="2"/>
        <v/>
      </c>
      <c r="T41" s="5"/>
      <c r="U41" s="5"/>
      <c r="V41" s="5"/>
      <c r="W41" s="5">
        <f t="shared" si="3"/>
        <v>0</v>
      </c>
      <c r="X41" s="5" t="str" cm="1">
        <f t="array" ref="X41">IFERROR(MEDIAN(_xlfn._xlws.FILTER($S$2:$S$209,($M$2:$M$209=U41)*($N$2:$N$209=V41)*($P$2:$P$209="Resale")*($S$2:$S$209&lt;&gt;""))),"")</f>
        <v/>
      </c>
      <c r="Y41" s="5" t="str">
        <f t="shared" si="5"/>
        <v/>
      </c>
      <c r="Z41" s="5">
        <f t="shared" si="7"/>
        <v>0</v>
      </c>
      <c r="AA41" s="5" t="str" cm="1">
        <f t="array" ref="AA41">IF(Z41=0,"",MEDIAN(_xlfn._xlws.FILTER($Y$2:$Y$209,($M$2:$M$209=U41)*($N$2:$N$209=V41)*($P$2:$P$209="Long Term Rental")*($Y$2:$Y$209&lt;&gt;""),"")))</f>
        <v/>
      </c>
      <c r="AB41" s="5" t="str">
        <f t="shared" si="4"/>
        <v/>
      </c>
      <c r="AC41" s="5" t="str" cm="1">
        <f t="array" ref="AC41">IFERROR(MEDIAN(_xlfn._xlws.FILTER($Q$2:$Q$209,($M$2:$M$209=U41)*($P$2:$P$209="Short Term Rental")*($Q$2:$Q$209&lt;&gt;""))),"")</f>
        <v/>
      </c>
    </row>
    <row r="42" spans="1:29" ht="15" thickBot="1" x14ac:dyDescent="0.4">
      <c r="A42" s="1" t="s">
        <v>89</v>
      </c>
      <c r="B42" s="2" t="s">
        <v>90</v>
      </c>
      <c r="C42" s="1" t="s">
        <v>91</v>
      </c>
      <c r="D42" s="1" t="s">
        <v>15</v>
      </c>
      <c r="E42" s="1" t="s">
        <v>71</v>
      </c>
      <c r="F42" s="1"/>
      <c r="G42" s="1"/>
      <c r="H42" s="3">
        <v>4700</v>
      </c>
      <c r="I42" s="1" t="s">
        <v>17</v>
      </c>
      <c r="J42" s="1" t="s">
        <v>18</v>
      </c>
      <c r="K42" s="1" t="s">
        <v>19</v>
      </c>
      <c r="L42" s="1" t="s">
        <v>20</v>
      </c>
      <c r="M42" s="5" t="str">
        <f>_xlfn.XLOOKUP(TRIM(C42),MAPPING!A:A,MAPPING!B:B,"CHECK")</f>
        <v>Karjat Town</v>
      </c>
      <c r="N42" s="5" t="str">
        <f>_xlfn.XLOOKUP(D42,MAPPING!G:G,MAPPING!H:H,"CHECK")</f>
        <v>Villa</v>
      </c>
      <c r="O42" s="5" t="str">
        <f>_xlfn.XLOOKUP(E42,MAPPING!J:J,MAPPING!K:K,"CHECK")</f>
        <v>2 BHK</v>
      </c>
      <c r="P42" s="5" t="str">
        <f>_xlfn.XLOOKUP(J42,MAPPING!M:M,MAPPING!N:N,"CHECK")</f>
        <v>Short Term Rental</v>
      </c>
      <c r="Q42" s="5">
        <f t="shared" si="0"/>
        <v>4700</v>
      </c>
      <c r="R42" s="5" t="str">
        <f t="shared" si="1"/>
        <v/>
      </c>
      <c r="S42" s="5" t="str">
        <f t="shared" si="2"/>
        <v/>
      </c>
      <c r="T42" s="5"/>
      <c r="U42" s="5"/>
      <c r="V42" s="5"/>
      <c r="W42" s="5">
        <f t="shared" si="3"/>
        <v>0</v>
      </c>
      <c r="X42" s="5" t="str" cm="1">
        <f t="array" ref="X42">IFERROR(MEDIAN(_xlfn._xlws.FILTER($S$2:$S$209,($M$2:$M$209=U42)*($N$2:$N$209=V42)*($P$2:$P$209="Resale")*($S$2:$S$209&lt;&gt;""))),"")</f>
        <v/>
      </c>
      <c r="Y42" s="5" t="str">
        <f t="shared" si="5"/>
        <v/>
      </c>
      <c r="Z42" s="5">
        <f t="shared" si="7"/>
        <v>0</v>
      </c>
      <c r="AA42" s="5" t="str" cm="1">
        <f t="array" ref="AA42">IF(Z42=0,"",MEDIAN(_xlfn._xlws.FILTER($Y$2:$Y$209,($M$2:$M$209=U42)*($N$2:$N$209=V42)*($P$2:$P$209="Long Term Rental")*($Y$2:$Y$209&lt;&gt;""),"")))</f>
        <v/>
      </c>
      <c r="AB42" s="5" t="str">
        <f t="shared" si="4"/>
        <v/>
      </c>
      <c r="AC42" s="5" t="str" cm="1">
        <f t="array" ref="AC42">IFERROR(MEDIAN(_xlfn._xlws.FILTER($Q$2:$Q$209,($M$2:$M$209=U42)*($P$2:$P$209="Short Term Rental")*($Q$2:$Q$209&lt;&gt;""))),"")</f>
        <v/>
      </c>
    </row>
    <row r="43" spans="1:29" ht="15" thickBot="1" x14ac:dyDescent="0.4">
      <c r="A43" s="1" t="s">
        <v>162</v>
      </c>
      <c r="B43" s="2" t="s">
        <v>163</v>
      </c>
      <c r="C43" s="1" t="s">
        <v>99</v>
      </c>
      <c r="D43" s="1" t="s">
        <v>15</v>
      </c>
      <c r="E43" s="1" t="s">
        <v>16</v>
      </c>
      <c r="F43" s="1"/>
      <c r="G43" s="1"/>
      <c r="H43" s="3">
        <v>4400</v>
      </c>
      <c r="I43" s="1" t="s">
        <v>17</v>
      </c>
      <c r="J43" s="1" t="s">
        <v>18</v>
      </c>
      <c r="K43" s="1" t="s">
        <v>19</v>
      </c>
      <c r="L43" s="1" t="s">
        <v>20</v>
      </c>
      <c r="M43" s="5" t="str">
        <f>_xlfn.XLOOKUP(TRIM(C43),MAPPING!A:A,MAPPING!B:B,"CHECK")</f>
        <v>Karjat Town</v>
      </c>
      <c r="N43" s="5" t="str">
        <f>_xlfn.XLOOKUP(D43,MAPPING!G:G,MAPPING!H:H,"CHECK")</f>
        <v>Villa</v>
      </c>
      <c r="O43" s="5" t="str">
        <f>_xlfn.XLOOKUP(E43,MAPPING!J:J,MAPPING!K:K,"CHECK")</f>
        <v>3 BHK</v>
      </c>
      <c r="P43" s="5" t="str">
        <f>_xlfn.XLOOKUP(J43,MAPPING!M:M,MAPPING!N:N,"CHECK")</f>
        <v>Short Term Rental</v>
      </c>
      <c r="Q43" s="5">
        <f t="shared" si="0"/>
        <v>4400</v>
      </c>
      <c r="R43" s="5" t="str">
        <f t="shared" si="1"/>
        <v/>
      </c>
      <c r="S43" s="5" t="str">
        <f t="shared" si="2"/>
        <v/>
      </c>
      <c r="T43" s="5"/>
      <c r="U43" s="5"/>
      <c r="V43" s="5"/>
      <c r="W43" s="5">
        <f t="shared" si="3"/>
        <v>0</v>
      </c>
      <c r="X43" s="5" t="str" cm="1">
        <f t="array" ref="X43">IFERROR(MEDIAN(_xlfn._xlws.FILTER($S$2:$S$209,($M$2:$M$209=U43)*($N$2:$N$209=V43)*($P$2:$P$209="Resale")*($S$2:$S$209&lt;&gt;""))),"")</f>
        <v/>
      </c>
      <c r="Y43" s="5" t="str">
        <f t="shared" si="5"/>
        <v/>
      </c>
      <c r="Z43" s="5">
        <f t="shared" si="7"/>
        <v>0</v>
      </c>
      <c r="AA43" s="5" t="str" cm="1">
        <f t="array" ref="AA43">IF(Z43=0,"",MEDIAN(_xlfn._xlws.FILTER($Y$2:$Y$209,($M$2:$M$209=U43)*($N$2:$N$209=V43)*($P$2:$P$209="Long Term Rental")*($Y$2:$Y$209&lt;&gt;""),"")))</f>
        <v/>
      </c>
      <c r="AB43" s="5" t="str">
        <f t="shared" si="4"/>
        <v/>
      </c>
      <c r="AC43" s="5" t="str" cm="1">
        <f t="array" ref="AC43">IFERROR(MEDIAN(_xlfn._xlws.FILTER($Q$2:$Q$209,($M$2:$M$209=U43)*($P$2:$P$209="Short Term Rental")*($Q$2:$Q$209&lt;&gt;""))),"")</f>
        <v/>
      </c>
    </row>
    <row r="44" spans="1:29" ht="15" thickBot="1" x14ac:dyDescent="0.4">
      <c r="A44" s="1" t="s">
        <v>371</v>
      </c>
      <c r="B44" s="1" t="s">
        <v>372</v>
      </c>
      <c r="C44" s="1" t="s">
        <v>82</v>
      </c>
      <c r="D44" s="1" t="s">
        <v>24</v>
      </c>
      <c r="E44" s="1" t="s">
        <v>35</v>
      </c>
      <c r="F44" s="3">
        <v>3127</v>
      </c>
      <c r="G44" s="1" t="s">
        <v>30</v>
      </c>
      <c r="H44" s="3">
        <v>1.38</v>
      </c>
      <c r="I44" s="1" t="s">
        <v>64</v>
      </c>
      <c r="J44" s="1" t="s">
        <v>37</v>
      </c>
      <c r="K44" s="1" t="s">
        <v>19</v>
      </c>
      <c r="L44" s="1"/>
      <c r="M44" s="5" t="str">
        <f>_xlfn.XLOOKUP(TRIM(C44),MAPPING!A:A,MAPPING!B:B,"CHECK")</f>
        <v>Neral</v>
      </c>
      <c r="N44" s="5" t="str">
        <f>_xlfn.XLOOKUP(D44,MAPPING!G:G,MAPPING!H:H,"CHECK")</f>
        <v>Villa</v>
      </c>
      <c r="O44" s="5" t="str">
        <f>_xlfn.XLOOKUP(E44,MAPPING!J:J,MAPPING!K:K,"CHECK")</f>
        <v>3 BHK</v>
      </c>
      <c r="P44" s="5" t="str">
        <f>_xlfn.XLOOKUP(J44,MAPPING!M:M,MAPPING!N:N,"CHECK")</f>
        <v>Resale</v>
      </c>
      <c r="Q44" s="5">
        <f t="shared" si="0"/>
        <v>13799999.999999998</v>
      </c>
      <c r="R44" s="5">
        <f t="shared" si="1"/>
        <v>3127</v>
      </c>
      <c r="S44" s="5">
        <f t="shared" si="2"/>
        <v>4413.175567636712</v>
      </c>
      <c r="T44" s="5"/>
      <c r="U44" s="5"/>
      <c r="V44" s="5"/>
      <c r="W44" s="5">
        <f t="shared" si="3"/>
        <v>0</v>
      </c>
      <c r="X44" s="5" t="str" cm="1">
        <f t="array" ref="X44">IFERROR(MEDIAN(_xlfn._xlws.FILTER($S$2:$S$209,($M$2:$M$209=U44)*($N$2:$N$209=V44)*($P$2:$P$209="Resale")*($S$2:$S$209&lt;&gt;""))),"")</f>
        <v/>
      </c>
      <c r="Y44" s="5" t="str">
        <f t="shared" si="5"/>
        <v/>
      </c>
      <c r="Z44" s="5">
        <f t="shared" si="7"/>
        <v>0</v>
      </c>
      <c r="AA44" s="5" t="str" cm="1">
        <f t="array" ref="AA44">IF(Z44=0,"",MEDIAN(_xlfn._xlws.FILTER($Y$2:$Y$209,($M$2:$M$209=U44)*($N$2:$N$209=V44)*($P$2:$P$209="Long Term Rental")*($Y$2:$Y$209&lt;&gt;""),"")))</f>
        <v/>
      </c>
      <c r="AB44" s="5" t="str">
        <f t="shared" si="4"/>
        <v/>
      </c>
      <c r="AC44" s="5" t="str" cm="1">
        <f t="array" ref="AC44">IFERROR(MEDIAN(_xlfn._xlws.FILTER($Q$2:$Q$209,($M$2:$M$209=U44)*($P$2:$P$209="Short Term Rental")*($Q$2:$Q$209&lt;&gt;""))),"")</f>
        <v/>
      </c>
    </row>
    <row r="45" spans="1:29" ht="15" thickBot="1" x14ac:dyDescent="0.4">
      <c r="A45" s="1" t="s">
        <v>432</v>
      </c>
      <c r="B45" s="1" t="s">
        <v>433</v>
      </c>
      <c r="C45" s="1" t="s">
        <v>56</v>
      </c>
      <c r="D45" s="1" t="s">
        <v>24</v>
      </c>
      <c r="E45" s="1" t="s">
        <v>29</v>
      </c>
      <c r="F45" s="3">
        <v>2138</v>
      </c>
      <c r="G45" s="1" t="s">
        <v>30</v>
      </c>
      <c r="H45" s="3">
        <v>82.16</v>
      </c>
      <c r="I45" s="1" t="s">
        <v>36</v>
      </c>
      <c r="J45" s="1" t="s">
        <v>37</v>
      </c>
      <c r="K45" s="1" t="s">
        <v>124</v>
      </c>
      <c r="L45" s="1"/>
      <c r="M45" s="5" t="str">
        <f>_xlfn.XLOOKUP(TRIM(C45),MAPPING!A:A,MAPPING!B:B,"CHECK")</f>
        <v>Neral</v>
      </c>
      <c r="N45" s="5" t="str">
        <f>_xlfn.XLOOKUP(D45,MAPPING!G:G,MAPPING!H:H,"CHECK")</f>
        <v>Villa</v>
      </c>
      <c r="O45" s="5" t="str">
        <f>_xlfn.XLOOKUP(E45,MAPPING!J:J,MAPPING!K:K,"CHECK")</f>
        <v>4 BHK</v>
      </c>
      <c r="P45" s="5" t="str">
        <f>_xlfn.XLOOKUP(J45,MAPPING!M:M,MAPPING!N:N,"CHECK")</f>
        <v>Resale</v>
      </c>
      <c r="Q45" s="5">
        <f t="shared" si="0"/>
        <v>8216000</v>
      </c>
      <c r="R45" s="5">
        <f t="shared" si="1"/>
        <v>2138</v>
      </c>
      <c r="S45" s="5">
        <f t="shared" si="2"/>
        <v>3842.8437792329278</v>
      </c>
      <c r="T45" s="5"/>
      <c r="U45" s="5"/>
      <c r="V45" s="5"/>
      <c r="W45" s="5">
        <f t="shared" si="3"/>
        <v>0</v>
      </c>
      <c r="X45" s="5" t="str" cm="1">
        <f t="array" ref="X45">IFERROR(MEDIAN(_xlfn._xlws.FILTER($S$2:$S$209,($M$2:$M$209=U45)*($N$2:$N$209=V45)*($P$2:$P$209="Resale")*($S$2:$S$209&lt;&gt;""))),"")</f>
        <v/>
      </c>
      <c r="Y45" s="5" t="str">
        <f t="shared" si="5"/>
        <v/>
      </c>
      <c r="Z45" s="5">
        <f t="shared" si="7"/>
        <v>0</v>
      </c>
      <c r="AA45" s="5" t="str" cm="1">
        <f t="array" ref="AA45">IF(Z45=0,"",MEDIAN(_xlfn._xlws.FILTER($Y$2:$Y$209,($M$2:$M$209=U45)*($N$2:$N$209=V45)*($P$2:$P$209="Long Term Rental")*($Y$2:$Y$209&lt;&gt;""),"")))</f>
        <v/>
      </c>
      <c r="AB45" s="5" t="str">
        <f t="shared" si="4"/>
        <v/>
      </c>
      <c r="AC45" s="5" t="str" cm="1">
        <f t="array" ref="AC45">IFERROR(MEDIAN(_xlfn._xlws.FILTER($Q$2:$Q$209,($M$2:$M$209=U45)*($P$2:$P$209="Short Term Rental")*($Q$2:$Q$209&lt;&gt;""))),"")</f>
        <v/>
      </c>
    </row>
    <row r="46" spans="1:29" ht="15" thickBot="1" x14ac:dyDescent="0.4">
      <c r="A46" s="1" t="s">
        <v>140</v>
      </c>
      <c r="B46" s="1" t="s">
        <v>141</v>
      </c>
      <c r="C46" s="1" t="s">
        <v>56</v>
      </c>
      <c r="D46" s="1" t="s">
        <v>15</v>
      </c>
      <c r="E46" s="1" t="s">
        <v>29</v>
      </c>
      <c r="F46" s="3">
        <v>3018</v>
      </c>
      <c r="G46" s="1" t="s">
        <v>30</v>
      </c>
      <c r="H46" s="3">
        <v>1.19</v>
      </c>
      <c r="I46" s="1" t="s">
        <v>64</v>
      </c>
      <c r="J46" s="1" t="s">
        <v>37</v>
      </c>
      <c r="K46" s="1" t="s">
        <v>19</v>
      </c>
      <c r="L46" s="1"/>
      <c r="M46" s="5" t="str">
        <f>_xlfn.XLOOKUP(TRIM(C46),MAPPING!A:A,MAPPING!B:B,"CHECK")</f>
        <v>Neral</v>
      </c>
      <c r="N46" s="5" t="str">
        <f>_xlfn.XLOOKUP(D46,MAPPING!G:G,MAPPING!H:H,"CHECK")</f>
        <v>Villa</v>
      </c>
      <c r="O46" s="5" t="str">
        <f>_xlfn.XLOOKUP(E46,MAPPING!J:J,MAPPING!K:K,"CHECK")</f>
        <v>4 BHK</v>
      </c>
      <c r="P46" s="5" t="str">
        <f>_xlfn.XLOOKUP(J46,MAPPING!M:M,MAPPING!N:N,"CHECK")</f>
        <v>Resale</v>
      </c>
      <c r="Q46" s="5">
        <f t="shared" si="0"/>
        <v>11900000</v>
      </c>
      <c r="R46" s="5">
        <f t="shared" si="1"/>
        <v>3018</v>
      </c>
      <c r="S46" s="5">
        <f t="shared" si="2"/>
        <v>3943.0086149768058</v>
      </c>
      <c r="T46" s="5"/>
      <c r="U46" s="5"/>
      <c r="V46" s="5"/>
      <c r="W46" s="5">
        <f t="shared" si="3"/>
        <v>0</v>
      </c>
      <c r="X46" s="5" t="str" cm="1">
        <f t="array" ref="X46">IFERROR(MEDIAN(_xlfn._xlws.FILTER($S$2:$S$209,($M$2:$M$209=U46)*($N$2:$N$209=V46)*($P$2:$P$209="Resale")*($S$2:$S$209&lt;&gt;""))),"")</f>
        <v/>
      </c>
      <c r="Y46" s="5" t="str">
        <f t="shared" si="5"/>
        <v/>
      </c>
      <c r="Z46" s="5">
        <f t="shared" si="7"/>
        <v>0</v>
      </c>
      <c r="AA46" s="5" t="str" cm="1">
        <f t="array" ref="AA46">IF(Z46=0,"",MEDIAN(_xlfn._xlws.FILTER($Y$2:$Y$209,($M$2:$M$209=U46)*($N$2:$N$209=V46)*($P$2:$P$209="Long Term Rental")*($Y$2:$Y$209&lt;&gt;""),"")))</f>
        <v/>
      </c>
      <c r="AB46" s="5" t="str">
        <f t="shared" si="4"/>
        <v/>
      </c>
      <c r="AC46" s="5" t="str" cm="1">
        <f t="array" ref="AC46">IFERROR(MEDIAN(_xlfn._xlws.FILTER($Q$2:$Q$209,($M$2:$M$209=U46)*($P$2:$P$209="Short Term Rental")*($Q$2:$Q$209&lt;&gt;""))),"")</f>
        <v/>
      </c>
    </row>
    <row r="47" spans="1:29" ht="15" thickBot="1" x14ac:dyDescent="0.4">
      <c r="A47" s="1" t="s">
        <v>65</v>
      </c>
      <c r="B47" s="2" t="s">
        <v>66</v>
      </c>
      <c r="C47" s="1" t="s">
        <v>23</v>
      </c>
      <c r="D47" s="2" t="s">
        <v>67</v>
      </c>
      <c r="E47" s="1" t="s">
        <v>48</v>
      </c>
      <c r="F47" s="3">
        <v>2321</v>
      </c>
      <c r="G47" s="1" t="s">
        <v>30</v>
      </c>
      <c r="H47" s="3">
        <v>84.04</v>
      </c>
      <c r="I47" s="1" t="s">
        <v>36</v>
      </c>
      <c r="J47" s="1" t="s">
        <v>37</v>
      </c>
      <c r="K47" s="1" t="s">
        <v>19</v>
      </c>
      <c r="L47" s="1"/>
      <c r="M47" s="5" t="str">
        <f>_xlfn.XLOOKUP(TRIM(C47),MAPPING!A:A,MAPPING!B:B,"CHECK")</f>
        <v>Neral</v>
      </c>
      <c r="N47" s="5" t="str">
        <f>_xlfn.XLOOKUP(D47,MAPPING!G:G,MAPPING!H:H,"CHECK")</f>
        <v>Villa</v>
      </c>
      <c r="O47" s="5" t="str">
        <f>_xlfn.XLOOKUP(E47,MAPPING!J:J,MAPPING!K:K,"CHECK")</f>
        <v>2 BHK</v>
      </c>
      <c r="P47" s="5" t="str">
        <f>_xlfn.XLOOKUP(J47,MAPPING!M:M,MAPPING!N:N,"CHECK")</f>
        <v>Resale</v>
      </c>
      <c r="Q47" s="5">
        <f t="shared" si="0"/>
        <v>8404000</v>
      </c>
      <c r="R47" s="5">
        <f t="shared" si="1"/>
        <v>2321</v>
      </c>
      <c r="S47" s="5">
        <f t="shared" si="2"/>
        <v>3620.8530805687205</v>
      </c>
      <c r="T47" s="5"/>
      <c r="U47" s="5"/>
      <c r="V47" s="5"/>
      <c r="W47" s="5">
        <f t="shared" si="3"/>
        <v>0</v>
      </c>
      <c r="X47" s="5" t="str" cm="1">
        <f t="array" ref="X47">IFERROR(MEDIAN(_xlfn._xlws.FILTER($S$2:$S$209,($M$2:$M$209=U47)*($N$2:$N$209=V47)*($P$2:$P$209="Resale")*($S$2:$S$209&lt;&gt;""))),"")</f>
        <v/>
      </c>
      <c r="Y47" s="5" t="str">
        <f t="shared" si="5"/>
        <v/>
      </c>
      <c r="Z47" s="5">
        <f t="shared" si="7"/>
        <v>0</v>
      </c>
      <c r="AA47" s="5" t="str" cm="1">
        <f t="array" ref="AA47">IF(Z47=0,"",MEDIAN(_xlfn._xlws.FILTER($Y$2:$Y$209,($M$2:$M$209=U47)*($N$2:$N$209=V47)*($P$2:$P$209="Long Term Rental")*($Y$2:$Y$209&lt;&gt;""),"")))</f>
        <v/>
      </c>
      <c r="AB47" s="5" t="str">
        <f t="shared" si="4"/>
        <v/>
      </c>
      <c r="AC47" s="5" t="str" cm="1">
        <f t="array" ref="AC47">IFERROR(MEDIAN(_xlfn._xlws.FILTER($Q$2:$Q$209,($M$2:$M$209=U47)*($P$2:$P$209="Short Term Rental")*($Q$2:$Q$209&lt;&gt;""))),"")</f>
        <v/>
      </c>
    </row>
    <row r="48" spans="1:29" ht="15" thickBot="1" x14ac:dyDescent="0.4">
      <c r="A48" s="1" t="s">
        <v>144</v>
      </c>
      <c r="B48" s="1" t="s">
        <v>145</v>
      </c>
      <c r="C48" s="1" t="s">
        <v>56</v>
      </c>
      <c r="D48" s="1" t="s">
        <v>15</v>
      </c>
      <c r="E48" s="1" t="s">
        <v>16</v>
      </c>
      <c r="F48" s="3">
        <v>2564</v>
      </c>
      <c r="G48" s="1" t="s">
        <v>30</v>
      </c>
      <c r="H48" s="3">
        <v>95.68</v>
      </c>
      <c r="I48" s="1" t="s">
        <v>36</v>
      </c>
      <c r="J48" s="1" t="s">
        <v>37</v>
      </c>
      <c r="K48" s="1" t="s">
        <v>19</v>
      </c>
      <c r="L48" s="1"/>
      <c r="M48" s="5" t="str">
        <f>_xlfn.XLOOKUP(TRIM(C48),MAPPING!A:A,MAPPING!B:B,"CHECK")</f>
        <v>Neral</v>
      </c>
      <c r="N48" s="5" t="str">
        <f>_xlfn.XLOOKUP(D48,MAPPING!G:G,MAPPING!H:H,"CHECK")</f>
        <v>Villa</v>
      </c>
      <c r="O48" s="5" t="str">
        <f>_xlfn.XLOOKUP(E48,MAPPING!J:J,MAPPING!K:K,"CHECK")</f>
        <v>3 BHK</v>
      </c>
      <c r="P48" s="5" t="str">
        <f>_xlfn.XLOOKUP(J48,MAPPING!M:M,MAPPING!N:N,"CHECK")</f>
        <v>Resale</v>
      </c>
      <c r="Q48" s="5">
        <f t="shared" si="0"/>
        <v>9568000</v>
      </c>
      <c r="R48" s="5">
        <f t="shared" si="1"/>
        <v>2564</v>
      </c>
      <c r="S48" s="5">
        <f t="shared" si="2"/>
        <v>3731.6692667706707</v>
      </c>
      <c r="T48" s="5"/>
      <c r="U48" s="5"/>
      <c r="V48" s="5"/>
      <c r="W48" s="5">
        <f t="shared" si="3"/>
        <v>0</v>
      </c>
      <c r="X48" s="5" t="str" cm="1">
        <f t="array" ref="X48">IFERROR(MEDIAN(_xlfn._xlws.FILTER($S$2:$S$209,($M$2:$M$209=U48)*($N$2:$N$209=V48)*($P$2:$P$209="Resale")*($S$2:$S$209&lt;&gt;""))),"")</f>
        <v/>
      </c>
      <c r="Y48" s="5" t="str">
        <f t="shared" si="5"/>
        <v/>
      </c>
      <c r="Z48" s="5">
        <f t="shared" si="7"/>
        <v>0</v>
      </c>
      <c r="AA48" s="5" t="str" cm="1">
        <f t="array" ref="AA48">IF(Z48=0,"",MEDIAN(_xlfn._xlws.FILTER($Y$2:$Y$209,($M$2:$M$209=U48)*($N$2:$N$209=V48)*($P$2:$P$209="Long Term Rental")*($Y$2:$Y$209&lt;&gt;""),"")))</f>
        <v/>
      </c>
      <c r="AB48" s="5" t="str">
        <f t="shared" si="4"/>
        <v/>
      </c>
      <c r="AC48" s="5" t="str" cm="1">
        <f t="array" ref="AC48">IFERROR(MEDIAN(_xlfn._xlws.FILTER($Q$2:$Q$209,($M$2:$M$209=U48)*($P$2:$P$209="Short Term Rental")*($Q$2:$Q$209&lt;&gt;""))),"")</f>
        <v/>
      </c>
    </row>
    <row r="49" spans="1:29" ht="15" thickBot="1" x14ac:dyDescent="0.4">
      <c r="A49" s="1" t="s">
        <v>187</v>
      </c>
      <c r="B49" s="1" t="s">
        <v>188</v>
      </c>
      <c r="C49" s="1" t="s">
        <v>23</v>
      </c>
      <c r="D49" s="1" t="s">
        <v>24</v>
      </c>
      <c r="E49" s="1" t="s">
        <v>16</v>
      </c>
      <c r="F49" s="3">
        <v>2120</v>
      </c>
      <c r="G49" s="1" t="s">
        <v>30</v>
      </c>
      <c r="H49" s="3">
        <v>76.92</v>
      </c>
      <c r="I49" s="1" t="s">
        <v>36</v>
      </c>
      <c r="J49" s="1" t="s">
        <v>37</v>
      </c>
      <c r="K49" s="1" t="s">
        <v>19</v>
      </c>
      <c r="L49" s="1"/>
      <c r="M49" s="5" t="str">
        <f>_xlfn.XLOOKUP(TRIM(C49),MAPPING!A:A,MAPPING!B:B,"CHECK")</f>
        <v>Neral</v>
      </c>
      <c r="N49" s="5" t="str">
        <f>_xlfn.XLOOKUP(D49,MAPPING!G:G,MAPPING!H:H,"CHECK")</f>
        <v>Villa</v>
      </c>
      <c r="O49" s="5" t="str">
        <f>_xlfn.XLOOKUP(E49,MAPPING!J:J,MAPPING!K:K,"CHECK")</f>
        <v>3 BHK</v>
      </c>
      <c r="P49" s="5" t="str">
        <f>_xlfn.XLOOKUP(J49,MAPPING!M:M,MAPPING!N:N,"CHECK")</f>
        <v>Resale</v>
      </c>
      <c r="Q49" s="5">
        <f t="shared" si="0"/>
        <v>7692000</v>
      </c>
      <c r="R49" s="5">
        <f t="shared" si="1"/>
        <v>2120</v>
      </c>
      <c r="S49" s="5">
        <f t="shared" si="2"/>
        <v>3628.3018867924529</v>
      </c>
      <c r="T49" s="5"/>
      <c r="U49" s="5"/>
      <c r="V49" s="5"/>
      <c r="W49" s="5">
        <f t="shared" si="3"/>
        <v>0</v>
      </c>
      <c r="X49" s="5" t="str" cm="1">
        <f t="array" ref="X49">IFERROR(MEDIAN(_xlfn._xlws.FILTER($S$2:$S$209,($M$2:$M$209=U49)*($N$2:$N$209=V49)*($P$2:$P$209="Resale")*($S$2:$S$209&lt;&gt;""))),"")</f>
        <v/>
      </c>
      <c r="Y49" s="5" t="str">
        <f t="shared" si="5"/>
        <v/>
      </c>
      <c r="Z49" s="5">
        <f t="shared" si="7"/>
        <v>0</v>
      </c>
      <c r="AA49" s="5" t="str" cm="1">
        <f t="array" ref="AA49">IF(Z49=0,"",MEDIAN(_xlfn._xlws.FILTER($Y$2:$Y$209,($M$2:$M$209=U49)*($N$2:$N$209=V49)*($P$2:$P$209="Long Term Rental")*($Y$2:$Y$209&lt;&gt;""),"")))</f>
        <v/>
      </c>
      <c r="AB49" s="5" t="str">
        <f t="shared" si="4"/>
        <v/>
      </c>
      <c r="AC49" s="5" t="str" cm="1">
        <f t="array" ref="AC49">IFERROR(MEDIAN(_xlfn._xlws.FILTER($Q$2:$Q$209,($M$2:$M$209=U49)*($P$2:$P$209="Short Term Rental")*($Q$2:$Q$209&lt;&gt;""))),"")</f>
        <v/>
      </c>
    </row>
    <row r="50" spans="1:29" ht="15" thickBot="1" x14ac:dyDescent="0.4">
      <c r="A50" s="1" t="s">
        <v>243</v>
      </c>
      <c r="B50" s="1" t="s">
        <v>194</v>
      </c>
      <c r="C50" s="1" t="s">
        <v>82</v>
      </c>
      <c r="D50" s="1" t="s">
        <v>155</v>
      </c>
      <c r="E50" s="1" t="s">
        <v>42</v>
      </c>
      <c r="F50" s="3">
        <v>5831</v>
      </c>
      <c r="G50" s="1" t="s">
        <v>30</v>
      </c>
      <c r="H50" s="3">
        <v>9.2200000000000006</v>
      </c>
      <c r="I50" s="1" t="s">
        <v>36</v>
      </c>
      <c r="J50" s="1" t="s">
        <v>37</v>
      </c>
      <c r="K50" s="1" t="s">
        <v>124</v>
      </c>
      <c r="L50" s="1"/>
      <c r="M50" s="5" t="str">
        <f>_xlfn.XLOOKUP(TRIM(C50),MAPPING!A:A,MAPPING!B:B,"CHECK")</f>
        <v>Neral</v>
      </c>
      <c r="N50" s="5" t="str">
        <f>_xlfn.XLOOKUP(D50,MAPPING!G:G,MAPPING!H:H,"CHECK")</f>
        <v>Farmland</v>
      </c>
      <c r="O50" s="5" t="str">
        <f>_xlfn.XLOOKUP(E50,MAPPING!J:J,MAPPING!K:K,"CHECK")</f>
        <v>NA</v>
      </c>
      <c r="P50" s="5" t="str">
        <f>_xlfn.XLOOKUP(J50,MAPPING!M:M,MAPPING!N:N,"CHECK")</f>
        <v>Resale</v>
      </c>
      <c r="Q50" s="5">
        <f t="shared" si="0"/>
        <v>922000.00000000012</v>
      </c>
      <c r="R50" s="5">
        <f t="shared" si="1"/>
        <v>5831</v>
      </c>
      <c r="S50" s="5">
        <f t="shared" si="2"/>
        <v>158.1203910135483</v>
      </c>
      <c r="T50" s="5"/>
      <c r="U50" s="5"/>
      <c r="V50" s="5"/>
      <c r="W50" s="5">
        <f t="shared" si="3"/>
        <v>0</v>
      </c>
      <c r="X50" s="5" t="str" cm="1">
        <f t="array" ref="X50">IFERROR(MEDIAN(_xlfn._xlws.FILTER($S$2:$S$209,($M$2:$M$209=U50)*($N$2:$N$209=V50)*($P$2:$P$209="Resale")*($S$2:$S$209&lt;&gt;""))),"")</f>
        <v/>
      </c>
      <c r="Y50" s="5" t="str">
        <f t="shared" si="5"/>
        <v/>
      </c>
      <c r="Z50" s="5">
        <f t="shared" si="7"/>
        <v>0</v>
      </c>
      <c r="AA50" s="5" t="str" cm="1">
        <f t="array" ref="AA50">IF(Z50=0,"",MEDIAN(_xlfn._xlws.FILTER($Y$2:$Y$209,($M$2:$M$209=U50)*($N$2:$N$209=V50)*($P$2:$P$209="Long Term Rental")*($Y$2:$Y$209&lt;&gt;""),"")))</f>
        <v/>
      </c>
      <c r="AB50" s="5" t="str">
        <f t="shared" si="4"/>
        <v/>
      </c>
      <c r="AC50" s="5" t="str" cm="1">
        <f t="array" ref="AC50">IFERROR(MEDIAN(_xlfn._xlws.FILTER($Q$2:$Q$209,($M$2:$M$209=U50)*($P$2:$P$209="Short Term Rental")*($Q$2:$Q$209&lt;&gt;""))),"")</f>
        <v/>
      </c>
    </row>
    <row r="51" spans="1:29" ht="15" thickBot="1" x14ac:dyDescent="0.4">
      <c r="A51" s="1" t="s">
        <v>221</v>
      </c>
      <c r="B51" s="1" t="s">
        <v>222</v>
      </c>
      <c r="C51" s="1" t="s">
        <v>23</v>
      </c>
      <c r="D51" s="1" t="s">
        <v>63</v>
      </c>
      <c r="E51" s="1" t="s">
        <v>42</v>
      </c>
      <c r="F51" s="3">
        <v>26.1</v>
      </c>
      <c r="G51" s="1" t="s">
        <v>43</v>
      </c>
      <c r="H51" s="3">
        <v>2.72</v>
      </c>
      <c r="I51" s="1" t="s">
        <v>64</v>
      </c>
      <c r="J51" s="1" t="s">
        <v>37</v>
      </c>
      <c r="K51" s="1" t="s">
        <v>124</v>
      </c>
      <c r="L51" s="1"/>
      <c r="M51" s="5" t="str">
        <f>_xlfn.XLOOKUP(TRIM(C51),MAPPING!A:A,MAPPING!B:B,"CHECK")</f>
        <v>Neral</v>
      </c>
      <c r="N51" s="5" t="str">
        <f>_xlfn.XLOOKUP(D51,MAPPING!G:G,MAPPING!H:H,"CHECK")</f>
        <v>Plot</v>
      </c>
      <c r="O51" s="5" t="str">
        <f>_xlfn.XLOOKUP(E51,MAPPING!J:J,MAPPING!K:K,"CHECK")</f>
        <v>NA</v>
      </c>
      <c r="P51" s="5" t="str">
        <f>_xlfn.XLOOKUP(J51,MAPPING!M:M,MAPPING!N:N,"CHECK")</f>
        <v>Resale</v>
      </c>
      <c r="Q51" s="5">
        <f t="shared" si="0"/>
        <v>27200000.000000004</v>
      </c>
      <c r="R51" s="5">
        <f t="shared" si="1"/>
        <v>28422.9</v>
      </c>
      <c r="S51" s="5">
        <f t="shared" si="2"/>
        <v>956.97483367284838</v>
      </c>
      <c r="T51" s="5"/>
      <c r="U51" s="5"/>
      <c r="V51" s="5"/>
      <c r="W51" s="5">
        <f t="shared" si="3"/>
        <v>0</v>
      </c>
      <c r="X51" s="5" t="str" cm="1">
        <f t="array" ref="X51">IFERROR(MEDIAN(_xlfn._xlws.FILTER($S$2:$S$209,($M$2:$M$209=U51)*($N$2:$N$209=V51)*($P$2:$P$209="Resale")*($S$2:$S$209&lt;&gt;""))),"")</f>
        <v/>
      </c>
      <c r="Y51" s="5" t="str">
        <f t="shared" si="5"/>
        <v/>
      </c>
      <c r="Z51" s="5">
        <f t="shared" si="7"/>
        <v>0</v>
      </c>
      <c r="AA51" s="5" t="str" cm="1">
        <f t="array" ref="AA51">IF(Z51=0,"",MEDIAN(_xlfn._xlws.FILTER($Y$2:$Y$209,($M$2:$M$209=U51)*($N$2:$N$209=V51)*($P$2:$P$209="Long Term Rental")*($Y$2:$Y$209&lt;&gt;""),"")))</f>
        <v/>
      </c>
      <c r="AB51" s="5" t="str">
        <f t="shared" si="4"/>
        <v/>
      </c>
      <c r="AC51" s="5" t="str" cm="1">
        <f t="array" ref="AC51">IFERROR(MEDIAN(_xlfn._xlws.FILTER($Q$2:$Q$209,($M$2:$M$209=U51)*($P$2:$P$209="Short Term Rental")*($Q$2:$Q$209&lt;&gt;""))),"")</f>
        <v/>
      </c>
    </row>
    <row r="52" spans="1:29" ht="15" thickBot="1" x14ac:dyDescent="0.4">
      <c r="A52" s="1" t="s">
        <v>193</v>
      </c>
      <c r="B52" s="1" t="s">
        <v>194</v>
      </c>
      <c r="C52" s="1" t="s">
        <v>82</v>
      </c>
      <c r="D52" s="1" t="s">
        <v>155</v>
      </c>
      <c r="E52" s="1" t="s">
        <v>42</v>
      </c>
      <c r="F52" s="3">
        <v>18.600000000000001</v>
      </c>
      <c r="G52" s="1" t="s">
        <v>43</v>
      </c>
      <c r="H52" s="3">
        <v>30.83</v>
      </c>
      <c r="I52" s="1" t="s">
        <v>36</v>
      </c>
      <c r="J52" s="1" t="s">
        <v>37</v>
      </c>
      <c r="K52" s="1" t="s">
        <v>124</v>
      </c>
      <c r="L52" s="1"/>
      <c r="M52" s="5" t="str">
        <f>_xlfn.XLOOKUP(TRIM(C52),MAPPING!A:A,MAPPING!B:B,"CHECK")</f>
        <v>Neral</v>
      </c>
      <c r="N52" s="5" t="str">
        <f>_xlfn.XLOOKUP(D52,MAPPING!G:G,MAPPING!H:H,"CHECK")</f>
        <v>Farmland</v>
      </c>
      <c r="O52" s="5" t="str">
        <f>_xlfn.XLOOKUP(E52,MAPPING!J:J,MAPPING!K:K,"CHECK")</f>
        <v>NA</v>
      </c>
      <c r="P52" s="5" t="str">
        <f>_xlfn.XLOOKUP(J52,MAPPING!M:M,MAPPING!N:N,"CHECK")</f>
        <v>Resale</v>
      </c>
      <c r="Q52" s="5">
        <f t="shared" si="0"/>
        <v>3083000</v>
      </c>
      <c r="R52" s="5">
        <f t="shared" si="1"/>
        <v>20255.400000000001</v>
      </c>
      <c r="S52" s="5">
        <f t="shared" si="2"/>
        <v>152.20632522685307</v>
      </c>
      <c r="T52" s="5"/>
      <c r="U52" s="5"/>
      <c r="V52" s="5"/>
      <c r="W52" s="5">
        <f t="shared" si="3"/>
        <v>0</v>
      </c>
      <c r="X52" s="5" t="str" cm="1">
        <f t="array" ref="X52">IFERROR(MEDIAN(_xlfn._xlws.FILTER($S$2:$S$209,($M$2:$M$209=U52)*($N$2:$N$209=V52)*($P$2:$P$209="Resale")*($S$2:$S$209&lt;&gt;""))),"")</f>
        <v/>
      </c>
      <c r="Y52" s="5" t="str">
        <f t="shared" si="5"/>
        <v/>
      </c>
      <c r="Z52" s="5">
        <f t="shared" si="7"/>
        <v>0</v>
      </c>
      <c r="AA52" s="5" t="str" cm="1">
        <f t="array" ref="AA52">IF(Z52=0,"",MEDIAN(_xlfn._xlws.FILTER($Y$2:$Y$209,($M$2:$M$209=U52)*($N$2:$N$209=V52)*($P$2:$P$209="Long Term Rental")*($Y$2:$Y$209&lt;&gt;""),"")))</f>
        <v/>
      </c>
      <c r="AB52" s="5" t="str">
        <f t="shared" si="4"/>
        <v/>
      </c>
      <c r="AC52" s="5" t="str" cm="1">
        <f t="array" ref="AC52">IFERROR(MEDIAN(_xlfn._xlws.FILTER($Q$2:$Q$209,($M$2:$M$209=U52)*($P$2:$P$209="Short Term Rental")*($Q$2:$Q$209&lt;&gt;""))),"")</f>
        <v/>
      </c>
    </row>
    <row r="53" spans="1:29" ht="15" thickBot="1" x14ac:dyDescent="0.4">
      <c r="A53" s="1" t="s">
        <v>233</v>
      </c>
      <c r="B53" s="1" t="s">
        <v>234</v>
      </c>
      <c r="C53" s="1" t="s">
        <v>56</v>
      </c>
      <c r="D53" s="1" t="s">
        <v>47</v>
      </c>
      <c r="E53" s="1" t="s">
        <v>52</v>
      </c>
      <c r="F53" s="3">
        <v>1722</v>
      </c>
      <c r="G53" s="1" t="s">
        <v>30</v>
      </c>
      <c r="H53" s="3">
        <v>70.150000000000006</v>
      </c>
      <c r="I53" s="1" t="s">
        <v>36</v>
      </c>
      <c r="J53" s="1" t="s">
        <v>37</v>
      </c>
      <c r="K53" s="1" t="s">
        <v>19</v>
      </c>
      <c r="L53" s="1"/>
      <c r="M53" s="5" t="str">
        <f>_xlfn.XLOOKUP(TRIM(C53),MAPPING!A:A,MAPPING!B:B,"CHECK")</f>
        <v>Neral</v>
      </c>
      <c r="N53" s="5" t="str">
        <f>_xlfn.XLOOKUP(D53,MAPPING!G:G,MAPPING!H:H,"CHECK")</f>
        <v>Villa</v>
      </c>
      <c r="O53" s="5" t="str">
        <f>_xlfn.XLOOKUP(E53,MAPPING!J:J,MAPPING!K:K,"CHECK")</f>
        <v>2 BHK</v>
      </c>
      <c r="P53" s="5" t="str">
        <f>_xlfn.XLOOKUP(J53,MAPPING!M:M,MAPPING!N:N,"CHECK")</f>
        <v>Resale</v>
      </c>
      <c r="Q53" s="5">
        <f t="shared" si="0"/>
        <v>7015000.0000000009</v>
      </c>
      <c r="R53" s="5">
        <f t="shared" si="1"/>
        <v>1722</v>
      </c>
      <c r="S53" s="5">
        <f t="shared" si="2"/>
        <v>4073.7514518002326</v>
      </c>
      <c r="T53" s="5"/>
      <c r="U53" s="5"/>
      <c r="V53" s="5"/>
      <c r="W53" s="5">
        <f t="shared" si="3"/>
        <v>0</v>
      </c>
      <c r="X53" s="5" t="str" cm="1">
        <f t="array" ref="X53">IFERROR(MEDIAN(_xlfn._xlws.FILTER($S$2:$S$209,($M$2:$M$209=U53)*($N$2:$N$209=V53)*($P$2:$P$209="Resale")*($S$2:$S$209&lt;&gt;""))),"")</f>
        <v/>
      </c>
      <c r="Y53" s="5" t="str">
        <f t="shared" si="5"/>
        <v/>
      </c>
      <c r="Z53" s="5">
        <f t="shared" si="7"/>
        <v>0</v>
      </c>
      <c r="AA53" s="5" t="str" cm="1">
        <f t="array" ref="AA53">IF(Z53=0,"",MEDIAN(_xlfn._xlws.FILTER($Y$2:$Y$209,($M$2:$M$209=U53)*($N$2:$N$209=V53)*($P$2:$P$209="Long Term Rental")*($Y$2:$Y$209&lt;&gt;""),"")))</f>
        <v/>
      </c>
      <c r="AB53" s="5" t="str">
        <f t="shared" si="4"/>
        <v/>
      </c>
      <c r="AC53" s="5" t="str" cm="1">
        <f t="array" ref="AC53">IFERROR(MEDIAN(_xlfn._xlws.FILTER($Q$2:$Q$209,($M$2:$M$209=U53)*($P$2:$P$209="Short Term Rental")*($Q$2:$Q$209&lt;&gt;""))),"")</f>
        <v/>
      </c>
    </row>
    <row r="54" spans="1:29" ht="15" thickBot="1" x14ac:dyDescent="0.4">
      <c r="A54" s="1" t="s">
        <v>268</v>
      </c>
      <c r="B54" s="1" t="s">
        <v>269</v>
      </c>
      <c r="C54" s="1" t="s">
        <v>82</v>
      </c>
      <c r="D54" s="1" t="s">
        <v>166</v>
      </c>
      <c r="E54" s="1" t="s">
        <v>42</v>
      </c>
      <c r="F54" s="3">
        <v>8.6999999999999993</v>
      </c>
      <c r="G54" s="1" t="s">
        <v>43</v>
      </c>
      <c r="H54" s="3">
        <v>14.73</v>
      </c>
      <c r="I54" s="1" t="s">
        <v>36</v>
      </c>
      <c r="J54" s="1" t="s">
        <v>37</v>
      </c>
      <c r="K54" s="1" t="s">
        <v>19</v>
      </c>
      <c r="L54" s="1"/>
      <c r="M54" s="5" t="str">
        <f>_xlfn.XLOOKUP(TRIM(C54),MAPPING!A:A,MAPPING!B:B,"CHECK")</f>
        <v>Neral</v>
      </c>
      <c r="N54" s="5" t="str">
        <f>_xlfn.XLOOKUP(D54,MAPPING!G:G,MAPPING!H:H,"CHECK")</f>
        <v>Farmland</v>
      </c>
      <c r="O54" s="5" t="str">
        <f>_xlfn.XLOOKUP(E54,MAPPING!J:J,MAPPING!K:K,"CHECK")</f>
        <v>NA</v>
      </c>
      <c r="P54" s="5" t="str">
        <f>_xlfn.XLOOKUP(J54,MAPPING!M:M,MAPPING!N:N,"CHECK")</f>
        <v>Resale</v>
      </c>
      <c r="Q54" s="5">
        <f t="shared" si="0"/>
        <v>1473000</v>
      </c>
      <c r="R54" s="5">
        <f t="shared" si="1"/>
        <v>9474.2999999999993</v>
      </c>
      <c r="S54" s="5">
        <f t="shared" si="2"/>
        <v>155.47322757354107</v>
      </c>
      <c r="T54" s="5"/>
      <c r="U54" s="5"/>
      <c r="V54" s="5"/>
      <c r="W54" s="5">
        <f t="shared" si="3"/>
        <v>0</v>
      </c>
      <c r="X54" s="5" t="str" cm="1">
        <f t="array" ref="X54">IFERROR(MEDIAN(_xlfn._xlws.FILTER($S$2:$S$209,($M$2:$M$209=U54)*($N$2:$N$209=V54)*($P$2:$P$209="Resale")*($S$2:$S$209&lt;&gt;""))),"")</f>
        <v/>
      </c>
      <c r="Y54" s="5" t="str">
        <f t="shared" si="5"/>
        <v/>
      </c>
      <c r="Z54" s="5">
        <f t="shared" si="7"/>
        <v>0</v>
      </c>
      <c r="AA54" s="5" t="str" cm="1">
        <f t="array" ref="AA54">IF(Z54=0,"",MEDIAN(_xlfn._xlws.FILTER($Y$2:$Y$209,($M$2:$M$209=U54)*($N$2:$N$209=V54)*($P$2:$P$209="Long Term Rental")*($Y$2:$Y$209&lt;&gt;""),"")))</f>
        <v/>
      </c>
      <c r="AB54" s="5" t="str">
        <f t="shared" si="4"/>
        <v/>
      </c>
      <c r="AC54" s="5" t="str" cm="1">
        <f t="array" ref="AC54">IFERROR(MEDIAN(_xlfn._xlws.FILTER($Q$2:$Q$209,($M$2:$M$209=U54)*($P$2:$P$209="Short Term Rental")*($Q$2:$Q$209&lt;&gt;""))),"")</f>
        <v/>
      </c>
    </row>
    <row r="55" spans="1:29" ht="15" thickBot="1" x14ac:dyDescent="0.4">
      <c r="A55" s="1" t="s">
        <v>386</v>
      </c>
      <c r="B55" s="1" t="s">
        <v>387</v>
      </c>
      <c r="C55" s="1" t="s">
        <v>56</v>
      </c>
      <c r="D55" s="1" t="s">
        <v>34</v>
      </c>
      <c r="E55" s="1" t="s">
        <v>29</v>
      </c>
      <c r="F55" s="3">
        <v>3088</v>
      </c>
      <c r="G55" s="1" t="s">
        <v>30</v>
      </c>
      <c r="H55" s="3">
        <v>1.07</v>
      </c>
      <c r="I55" s="1" t="s">
        <v>64</v>
      </c>
      <c r="J55" s="1" t="s">
        <v>37</v>
      </c>
      <c r="K55" s="1" t="s">
        <v>124</v>
      </c>
      <c r="L55" s="7"/>
      <c r="M55" s="5" t="str">
        <f>_xlfn.XLOOKUP(TRIM(C55),MAPPING!A:A,MAPPING!B:B,"CHECK")</f>
        <v>Neral</v>
      </c>
      <c r="N55" s="5" t="str">
        <f>_xlfn.XLOOKUP(D55,MAPPING!G:G,MAPPING!H:H,"CHECK")</f>
        <v>Villa</v>
      </c>
      <c r="O55" s="5" t="str">
        <f>_xlfn.XLOOKUP(E55,MAPPING!J:J,MAPPING!K:K,"CHECK")</f>
        <v>4 BHK</v>
      </c>
      <c r="P55" s="5" t="str">
        <f>_xlfn.XLOOKUP(J55,MAPPING!M:M,MAPPING!N:N,"CHECK")</f>
        <v>Resale</v>
      </c>
      <c r="Q55" s="5">
        <f t="shared" si="0"/>
        <v>10700000</v>
      </c>
      <c r="R55" s="5">
        <f t="shared" si="1"/>
        <v>3088</v>
      </c>
      <c r="S55" s="5">
        <f t="shared" si="2"/>
        <v>3465.0259067357515</v>
      </c>
      <c r="T55" s="5"/>
      <c r="U55" s="5"/>
      <c r="V55" s="5"/>
      <c r="W55" s="5">
        <f t="shared" si="3"/>
        <v>0</v>
      </c>
      <c r="X55" s="5" t="str" cm="1">
        <f t="array" ref="X55">IFERROR(MEDIAN(_xlfn._xlws.FILTER($S$2:$S$209,($M$2:$M$209=U55)*($N$2:$N$209=V55)*($P$2:$P$209="Resale")*($S$2:$S$209&lt;&gt;""))),"")</f>
        <v/>
      </c>
      <c r="Y55" s="5" t="str">
        <f t="shared" si="5"/>
        <v/>
      </c>
      <c r="Z55" s="5">
        <f t="shared" si="7"/>
        <v>0</v>
      </c>
      <c r="AA55" s="5" t="str" cm="1">
        <f t="array" ref="AA55">IF(Z55=0,"",MEDIAN(_xlfn._xlws.FILTER($Y$2:$Y$209,($M$2:$M$209=U55)*($N$2:$N$209=V55)*($P$2:$P$209="Long Term Rental")*($Y$2:$Y$209&lt;&gt;""),"")))</f>
        <v/>
      </c>
      <c r="AB55" s="5" t="str">
        <f t="shared" si="4"/>
        <v/>
      </c>
      <c r="AC55" s="5" t="str" cm="1">
        <f t="array" ref="AC55">IFERROR(MEDIAN(_xlfn._xlws.FILTER($Q$2:$Q$209,($M$2:$M$209=U55)*($P$2:$P$209="Short Term Rental")*($Q$2:$Q$209&lt;&gt;""))),"")</f>
        <v/>
      </c>
    </row>
    <row r="56" spans="1:29" ht="15" thickBot="1" x14ac:dyDescent="0.4">
      <c r="A56" s="1" t="s">
        <v>104</v>
      </c>
      <c r="B56" s="1" t="s">
        <v>105</v>
      </c>
      <c r="C56" s="1" t="s">
        <v>23</v>
      </c>
      <c r="D56" s="1" t="s">
        <v>24</v>
      </c>
      <c r="E56" s="1" t="s">
        <v>25</v>
      </c>
      <c r="F56" s="3">
        <v>1758</v>
      </c>
      <c r="G56" s="1" t="s">
        <v>30</v>
      </c>
      <c r="H56" s="3">
        <v>64.040000000000006</v>
      </c>
      <c r="I56" s="1" t="s">
        <v>36</v>
      </c>
      <c r="J56" s="1" t="s">
        <v>37</v>
      </c>
      <c r="K56" s="1" t="s">
        <v>19</v>
      </c>
      <c r="L56" s="1"/>
      <c r="M56" s="5" t="str">
        <f>_xlfn.XLOOKUP(TRIM(C56),MAPPING!A:A,MAPPING!B:B,"CHECK")</f>
        <v>Neral</v>
      </c>
      <c r="N56" s="5" t="str">
        <f>_xlfn.XLOOKUP(D56,MAPPING!G:G,MAPPING!H:H,"CHECK")</f>
        <v>Villa</v>
      </c>
      <c r="O56" s="5" t="str">
        <f>_xlfn.XLOOKUP(E56,MAPPING!J:J,MAPPING!K:K,"CHECK")</f>
        <v>3 BHK</v>
      </c>
      <c r="P56" s="5" t="str">
        <f>_xlfn.XLOOKUP(J56,MAPPING!M:M,MAPPING!N:N,"CHECK")</f>
        <v>Resale</v>
      </c>
      <c r="Q56" s="5">
        <f t="shared" si="0"/>
        <v>6404000.0000000009</v>
      </c>
      <c r="R56" s="5">
        <f t="shared" si="1"/>
        <v>1758</v>
      </c>
      <c r="S56" s="5">
        <f t="shared" si="2"/>
        <v>3642.7758816837322</v>
      </c>
      <c r="T56" s="5"/>
      <c r="U56" s="5"/>
      <c r="V56" s="5"/>
      <c r="W56" s="5">
        <f t="shared" si="3"/>
        <v>0</v>
      </c>
      <c r="X56" s="5" t="str" cm="1">
        <f t="array" ref="X56">IFERROR(MEDIAN(_xlfn._xlws.FILTER($S$2:$S$209,($M$2:$M$209=U56)*($N$2:$N$209=V56)*($P$2:$P$209="Resale")*($S$2:$S$209&lt;&gt;""))),"")</f>
        <v/>
      </c>
      <c r="Y56" s="5" t="str">
        <f t="shared" si="5"/>
        <v/>
      </c>
      <c r="Z56" s="5">
        <f t="shared" si="7"/>
        <v>0</v>
      </c>
      <c r="AA56" s="5" t="str" cm="1">
        <f t="array" ref="AA56">IF(Z56=0,"",MEDIAN(_xlfn._xlws.FILTER($Y$2:$Y$209,($M$2:$M$209=U56)*($N$2:$N$209=V56)*($P$2:$P$209="Long Term Rental")*($Y$2:$Y$209&lt;&gt;""),"")))</f>
        <v/>
      </c>
      <c r="AB56" s="5" t="str">
        <f t="shared" si="4"/>
        <v/>
      </c>
      <c r="AC56" s="5" t="str" cm="1">
        <f t="array" ref="AC56">IFERROR(MEDIAN(_xlfn._xlws.FILTER($Q$2:$Q$209,($M$2:$M$209=U56)*($P$2:$P$209="Short Term Rental")*($Q$2:$Q$209&lt;&gt;""))),"")</f>
        <v/>
      </c>
    </row>
    <row r="57" spans="1:29" ht="15" thickBot="1" x14ac:dyDescent="0.4">
      <c r="A57" s="1" t="s">
        <v>391</v>
      </c>
      <c r="B57" s="1" t="s">
        <v>306</v>
      </c>
      <c r="C57" s="1" t="s">
        <v>56</v>
      </c>
      <c r="D57" s="2" t="s">
        <v>67</v>
      </c>
      <c r="E57" s="1" t="s">
        <v>29</v>
      </c>
      <c r="F57" s="3">
        <v>2079</v>
      </c>
      <c r="G57" s="1" t="s">
        <v>30</v>
      </c>
      <c r="H57" s="3">
        <v>74.62</v>
      </c>
      <c r="I57" s="1" t="s">
        <v>36</v>
      </c>
      <c r="J57" s="1" t="s">
        <v>37</v>
      </c>
      <c r="K57" s="1" t="s">
        <v>124</v>
      </c>
      <c r="L57" s="1"/>
      <c r="M57" s="5" t="str">
        <f>_xlfn.XLOOKUP(TRIM(C57),MAPPING!A:A,MAPPING!B:B,"CHECK")</f>
        <v>Neral</v>
      </c>
      <c r="N57" s="5" t="str">
        <f>_xlfn.XLOOKUP(D57,MAPPING!G:G,MAPPING!H:H,"CHECK")</f>
        <v>Villa</v>
      </c>
      <c r="O57" s="5" t="str">
        <f>_xlfn.XLOOKUP(E57,MAPPING!J:J,MAPPING!K:K,"CHECK")</f>
        <v>4 BHK</v>
      </c>
      <c r="P57" s="5" t="str">
        <f>_xlfn.XLOOKUP(J57,MAPPING!M:M,MAPPING!N:N,"CHECK")</f>
        <v>Resale</v>
      </c>
      <c r="Q57" s="5">
        <f t="shared" si="0"/>
        <v>7462000</v>
      </c>
      <c r="R57" s="5">
        <f t="shared" si="1"/>
        <v>2079</v>
      </c>
      <c r="S57" s="5">
        <f t="shared" si="2"/>
        <v>3589.2255892255894</v>
      </c>
      <c r="T57" s="5"/>
      <c r="U57" s="5"/>
      <c r="V57" s="5"/>
      <c r="W57" s="5">
        <f t="shared" si="3"/>
        <v>0</v>
      </c>
      <c r="X57" s="5" t="str" cm="1">
        <f t="array" ref="X57">IFERROR(MEDIAN(_xlfn._xlws.FILTER($S$2:$S$209,($M$2:$M$209=U57)*($N$2:$N$209=V57)*($P$2:$P$209="Resale")*($S$2:$S$209&lt;&gt;""))),"")</f>
        <v/>
      </c>
      <c r="Y57" s="5" t="str">
        <f t="shared" si="5"/>
        <v/>
      </c>
      <c r="Z57" s="5">
        <f t="shared" si="7"/>
        <v>0</v>
      </c>
      <c r="AA57" s="5" t="str" cm="1">
        <f t="array" ref="AA57">IF(Z57=0,"",MEDIAN(_xlfn._xlws.FILTER($Y$2:$Y$209,($M$2:$M$209=U57)*($N$2:$N$209=V57)*($P$2:$P$209="Long Term Rental")*($Y$2:$Y$209&lt;&gt;""),"")))</f>
        <v/>
      </c>
      <c r="AB57" s="5" t="str">
        <f t="shared" si="4"/>
        <v/>
      </c>
      <c r="AC57" s="5" t="str" cm="1">
        <f t="array" ref="AC57">IFERROR(MEDIAN(_xlfn._xlws.FILTER($Q$2:$Q$209,($M$2:$M$209=U57)*($P$2:$P$209="Short Term Rental")*($Q$2:$Q$209&lt;&gt;""))),"")</f>
        <v/>
      </c>
    </row>
    <row r="58" spans="1:29" ht="15" thickBot="1" x14ac:dyDescent="0.4">
      <c r="A58" s="1" t="s">
        <v>416</v>
      </c>
      <c r="B58" s="1" t="s">
        <v>417</v>
      </c>
      <c r="C58" s="1" t="s">
        <v>82</v>
      </c>
      <c r="D58" s="1" t="s">
        <v>47</v>
      </c>
      <c r="E58" s="1" t="s">
        <v>42</v>
      </c>
      <c r="F58" s="3">
        <v>33.200000000000003</v>
      </c>
      <c r="G58" s="1" t="s">
        <v>43</v>
      </c>
      <c r="H58" s="3">
        <v>51.59</v>
      </c>
      <c r="I58" s="1" t="s">
        <v>36</v>
      </c>
      <c r="J58" s="1" t="s">
        <v>37</v>
      </c>
      <c r="K58" s="1" t="s">
        <v>53</v>
      </c>
      <c r="L58" s="1"/>
      <c r="M58" s="5" t="str">
        <f>_xlfn.XLOOKUP(TRIM(C58),MAPPING!A:A,MAPPING!B:B,"CHECK")</f>
        <v>Neral</v>
      </c>
      <c r="N58" s="5" t="str">
        <f>_xlfn.XLOOKUP(D58,MAPPING!G:G,MAPPING!H:H,"CHECK")</f>
        <v>Villa</v>
      </c>
      <c r="O58" s="5" t="str">
        <f>_xlfn.XLOOKUP(E58,MAPPING!J:J,MAPPING!K:K,"CHECK")</f>
        <v>NA</v>
      </c>
      <c r="P58" s="5" t="str">
        <f>_xlfn.XLOOKUP(J58,MAPPING!M:M,MAPPING!N:N,"CHECK")</f>
        <v>Resale</v>
      </c>
      <c r="Q58" s="5">
        <f t="shared" si="0"/>
        <v>5159000</v>
      </c>
      <c r="R58" s="5">
        <f t="shared" si="1"/>
        <v>36154.800000000003</v>
      </c>
      <c r="S58" s="5">
        <f t="shared" si="2"/>
        <v>142.69198004137763</v>
      </c>
      <c r="T58" s="5"/>
      <c r="U58" s="5"/>
      <c r="V58" s="5"/>
      <c r="W58" s="5">
        <f t="shared" si="3"/>
        <v>0</v>
      </c>
      <c r="X58" s="5" t="str" cm="1">
        <f t="array" ref="X58">IFERROR(MEDIAN(_xlfn._xlws.FILTER($S$2:$S$209,($M$2:$M$209=U58)*($N$2:$N$209=V58)*($P$2:$P$209="Resale")*($S$2:$S$209&lt;&gt;""))),"")</f>
        <v/>
      </c>
      <c r="Y58" s="5" t="str">
        <f t="shared" si="5"/>
        <v/>
      </c>
      <c r="Z58" s="5">
        <f t="shared" si="7"/>
        <v>0</v>
      </c>
      <c r="AA58" s="5" t="str" cm="1">
        <f t="array" ref="AA58">IF(Z58=0,"",MEDIAN(_xlfn._xlws.FILTER($Y$2:$Y$209,($M$2:$M$209=U58)*($N$2:$N$209=V58)*($P$2:$P$209="Long Term Rental")*($Y$2:$Y$209&lt;&gt;""),"")))</f>
        <v/>
      </c>
      <c r="AB58" s="5" t="str">
        <f t="shared" si="4"/>
        <v/>
      </c>
      <c r="AC58" s="5" t="str" cm="1">
        <f t="array" ref="AC58">IFERROR(MEDIAN(_xlfn._xlws.FILTER($Q$2:$Q$209,($M$2:$M$209=U58)*($P$2:$P$209="Short Term Rental")*($Q$2:$Q$209&lt;&gt;""))),"")</f>
        <v/>
      </c>
    </row>
    <row r="59" spans="1:29" ht="15" thickBot="1" x14ac:dyDescent="0.4">
      <c r="A59" s="1" t="s">
        <v>298</v>
      </c>
      <c r="B59" s="1" t="s">
        <v>299</v>
      </c>
      <c r="C59" s="1" t="s">
        <v>82</v>
      </c>
      <c r="D59" s="1" t="s">
        <v>131</v>
      </c>
      <c r="E59" s="1" t="s">
        <v>42</v>
      </c>
      <c r="F59" s="3">
        <v>6169</v>
      </c>
      <c r="G59" s="1" t="s">
        <v>30</v>
      </c>
      <c r="H59" s="3">
        <v>59.02</v>
      </c>
      <c r="I59" s="1" t="s">
        <v>36</v>
      </c>
      <c r="J59" s="1" t="s">
        <v>37</v>
      </c>
      <c r="K59" s="1" t="s">
        <v>19</v>
      </c>
      <c r="L59" s="1"/>
      <c r="M59" s="5" t="str">
        <f>_xlfn.XLOOKUP(TRIM(C59),MAPPING!A:A,MAPPING!B:B,"CHECK")</f>
        <v>Neral</v>
      </c>
      <c r="N59" s="5" t="str">
        <f>_xlfn.XLOOKUP(D59,MAPPING!G:G,MAPPING!H:H,"CHECK")</f>
        <v>Plot</v>
      </c>
      <c r="O59" s="5" t="str">
        <f>_xlfn.XLOOKUP(E59,MAPPING!J:J,MAPPING!K:K,"CHECK")</f>
        <v>NA</v>
      </c>
      <c r="P59" s="5" t="str">
        <f>_xlfn.XLOOKUP(J59,MAPPING!M:M,MAPPING!N:N,"CHECK")</f>
        <v>Resale</v>
      </c>
      <c r="Q59" s="5">
        <f t="shared" si="0"/>
        <v>5902000</v>
      </c>
      <c r="R59" s="5">
        <f t="shared" si="1"/>
        <v>6169</v>
      </c>
      <c r="S59" s="5">
        <f t="shared" si="2"/>
        <v>956.71907926730421</v>
      </c>
      <c r="T59" s="5"/>
      <c r="U59" s="5"/>
      <c r="V59" s="5"/>
      <c r="W59" s="5">
        <f t="shared" si="3"/>
        <v>0</v>
      </c>
      <c r="X59" s="5" t="str" cm="1">
        <f t="array" ref="X59">IFERROR(MEDIAN(_xlfn._xlws.FILTER($S$2:$S$209,($M$2:$M$209=U59)*($N$2:$N$209=V59)*($P$2:$P$209="Resale")*($S$2:$S$209&lt;&gt;""))),"")</f>
        <v/>
      </c>
      <c r="Y59" s="5" t="str">
        <f t="shared" si="5"/>
        <v/>
      </c>
      <c r="Z59" s="5">
        <f t="shared" si="7"/>
        <v>0</v>
      </c>
      <c r="AA59" s="5" t="str" cm="1">
        <f t="array" ref="AA59">IF(Z59=0,"",MEDIAN(_xlfn._xlws.FILTER($Y$2:$Y$209,($M$2:$M$209=U59)*($N$2:$N$209=V59)*($P$2:$P$209="Long Term Rental")*($Y$2:$Y$209&lt;&gt;""),"")))</f>
        <v/>
      </c>
      <c r="AB59" s="5" t="str">
        <f t="shared" si="4"/>
        <v/>
      </c>
      <c r="AC59" s="5" t="str" cm="1">
        <f t="array" ref="AC59">IFERROR(MEDIAN(_xlfn._xlws.FILTER($Q$2:$Q$209,($M$2:$M$209=U59)*($P$2:$P$209="Short Term Rental")*($Q$2:$Q$209&lt;&gt;""))),"")</f>
        <v/>
      </c>
    </row>
    <row r="60" spans="1:29" ht="15" thickBot="1" x14ac:dyDescent="0.4">
      <c r="A60" s="1" t="s">
        <v>410</v>
      </c>
      <c r="B60" s="1" t="s">
        <v>411</v>
      </c>
      <c r="C60" s="1" t="s">
        <v>182</v>
      </c>
      <c r="D60" s="1" t="s">
        <v>34</v>
      </c>
      <c r="E60" s="1" t="s">
        <v>48</v>
      </c>
      <c r="F60" s="3">
        <v>1718</v>
      </c>
      <c r="G60" s="1" t="s">
        <v>30</v>
      </c>
      <c r="H60" s="3">
        <v>584.79999999999995</v>
      </c>
      <c r="I60" s="1" t="s">
        <v>36</v>
      </c>
      <c r="J60" s="1" t="s">
        <v>37</v>
      </c>
      <c r="K60" s="1" t="s">
        <v>19</v>
      </c>
      <c r="L60" s="1"/>
      <c r="M60" s="5" t="str">
        <f>_xlfn.XLOOKUP(TRIM(C60),MAPPING!A:A,MAPPING!B:B,"CHECK")</f>
        <v>Neral</v>
      </c>
      <c r="N60" s="5" t="str">
        <f>_xlfn.XLOOKUP(D60,MAPPING!G:G,MAPPING!H:H,"CHECK")</f>
        <v>Villa</v>
      </c>
      <c r="O60" s="5" t="str">
        <f>_xlfn.XLOOKUP(E60,MAPPING!J:J,MAPPING!K:K,"CHECK")</f>
        <v>2 BHK</v>
      </c>
      <c r="P60" s="5" t="str">
        <f>_xlfn.XLOOKUP(J60,MAPPING!M:M,MAPPING!N:N,"CHECK")</f>
        <v>Resale</v>
      </c>
      <c r="Q60" s="5">
        <f t="shared" si="0"/>
        <v>58479999.999999993</v>
      </c>
      <c r="R60" s="5">
        <f t="shared" si="1"/>
        <v>1718</v>
      </c>
      <c r="S60" s="5">
        <f t="shared" si="2"/>
        <v>34039.580908032593</v>
      </c>
      <c r="T60" s="5"/>
      <c r="U60" s="5"/>
      <c r="V60" s="5"/>
      <c r="W60" s="5">
        <f t="shared" si="3"/>
        <v>0</v>
      </c>
      <c r="X60" s="5" t="str" cm="1">
        <f t="array" ref="X60">IFERROR(MEDIAN(_xlfn._xlws.FILTER($S$2:$S$209,($M$2:$M$209=U60)*($N$2:$N$209=V60)*($P$2:$P$209="Resale")*($S$2:$S$209&lt;&gt;""))),"")</f>
        <v/>
      </c>
      <c r="Y60" s="5" t="str">
        <f t="shared" si="5"/>
        <v/>
      </c>
      <c r="Z60" s="5">
        <f t="shared" si="7"/>
        <v>0</v>
      </c>
      <c r="AA60" s="5" t="str" cm="1">
        <f t="array" ref="AA60">IF(Z60=0,"",MEDIAN(_xlfn._xlws.FILTER($Y$2:$Y$209,($M$2:$M$209=U60)*($N$2:$N$209=V60)*($P$2:$P$209="Long Term Rental")*($Y$2:$Y$209&lt;&gt;""),"")))</f>
        <v/>
      </c>
      <c r="AB60" s="5" t="str">
        <f t="shared" si="4"/>
        <v/>
      </c>
      <c r="AC60" s="5" t="str" cm="1">
        <f t="array" ref="AC60">IFERROR(MEDIAN(_xlfn._xlws.FILTER($Q$2:$Q$209,($M$2:$M$209=U60)*($P$2:$P$209="Short Term Rental")*($Q$2:$Q$209&lt;&gt;""))),"")</f>
        <v/>
      </c>
    </row>
    <row r="61" spans="1:29" ht="15" thickBot="1" x14ac:dyDescent="0.4">
      <c r="A61" s="1" t="s">
        <v>305</v>
      </c>
      <c r="B61" s="1" t="s">
        <v>306</v>
      </c>
      <c r="C61" s="1" t="s">
        <v>82</v>
      </c>
      <c r="D61" s="2" t="s">
        <v>67</v>
      </c>
      <c r="E61" s="1" t="s">
        <v>29</v>
      </c>
      <c r="F61" s="3">
        <v>2084</v>
      </c>
      <c r="G61" s="1" t="s">
        <v>30</v>
      </c>
      <c r="H61" s="3">
        <v>72.599999999999994</v>
      </c>
      <c r="I61" s="1" t="s">
        <v>36</v>
      </c>
      <c r="J61" s="1" t="s">
        <v>37</v>
      </c>
      <c r="K61" s="1" t="s">
        <v>19</v>
      </c>
      <c r="L61" s="1"/>
      <c r="M61" s="5" t="str">
        <f>_xlfn.XLOOKUP(TRIM(C61),MAPPING!A:A,MAPPING!B:B,"CHECK")</f>
        <v>Neral</v>
      </c>
      <c r="N61" s="5" t="str">
        <f>_xlfn.XLOOKUP(D61,MAPPING!G:G,MAPPING!H:H,"CHECK")</f>
        <v>Villa</v>
      </c>
      <c r="O61" s="5" t="str">
        <f>_xlfn.XLOOKUP(E61,MAPPING!J:J,MAPPING!K:K,"CHECK")</f>
        <v>4 BHK</v>
      </c>
      <c r="P61" s="5" t="str">
        <f>_xlfn.XLOOKUP(J61,MAPPING!M:M,MAPPING!N:N,"CHECK")</f>
        <v>Resale</v>
      </c>
      <c r="Q61" s="5">
        <f t="shared" si="0"/>
        <v>7259999.9999999991</v>
      </c>
      <c r="R61" s="5">
        <f t="shared" si="1"/>
        <v>2084</v>
      </c>
      <c r="S61" s="5">
        <f t="shared" si="2"/>
        <v>3483.6852207293659</v>
      </c>
      <c r="T61" s="5"/>
      <c r="U61" s="5"/>
      <c r="V61" s="5"/>
      <c r="W61" s="5">
        <f t="shared" si="3"/>
        <v>0</v>
      </c>
      <c r="X61" s="5" t="str" cm="1">
        <f t="array" ref="X61">IFERROR(MEDIAN(_xlfn._xlws.FILTER($S$2:$S$209,($M$2:$M$209=U61)*($N$2:$N$209=V61)*($P$2:$P$209="Resale")*($S$2:$S$209&lt;&gt;""))),"")</f>
        <v/>
      </c>
      <c r="Y61" s="5" t="str">
        <f t="shared" si="5"/>
        <v/>
      </c>
      <c r="Z61" s="5">
        <f t="shared" si="7"/>
        <v>0</v>
      </c>
      <c r="AA61" s="5" t="str" cm="1">
        <f t="array" ref="AA61">IF(Z61=0,"",MEDIAN(_xlfn._xlws.FILTER($Y$2:$Y$209,($M$2:$M$209=U61)*($N$2:$N$209=V61)*($P$2:$P$209="Long Term Rental")*($Y$2:$Y$209&lt;&gt;""),"")))</f>
        <v/>
      </c>
      <c r="AB61" s="5" t="str">
        <f t="shared" si="4"/>
        <v/>
      </c>
      <c r="AC61" s="5" t="str" cm="1">
        <f t="array" ref="AC61">IFERROR(MEDIAN(_xlfn._xlws.FILTER($Q$2:$Q$209,($M$2:$M$209=U61)*($P$2:$P$209="Short Term Rental")*($Q$2:$Q$209&lt;&gt;""))),"")</f>
        <v/>
      </c>
    </row>
    <row r="62" spans="1:29" ht="15" thickBot="1" x14ac:dyDescent="0.4">
      <c r="A62" s="1" t="s">
        <v>325</v>
      </c>
      <c r="B62" s="1" t="s">
        <v>326</v>
      </c>
      <c r="C62" s="1" t="s">
        <v>56</v>
      </c>
      <c r="D62" s="1" t="s">
        <v>155</v>
      </c>
      <c r="E62" s="1" t="s">
        <v>42</v>
      </c>
      <c r="F62" s="3">
        <v>20.5</v>
      </c>
      <c r="G62" s="1" t="s">
        <v>43</v>
      </c>
      <c r="H62" s="3">
        <v>34.090000000000003</v>
      </c>
      <c r="I62" s="1" t="s">
        <v>36</v>
      </c>
      <c r="J62" s="1" t="s">
        <v>37</v>
      </c>
      <c r="K62" s="1" t="s">
        <v>124</v>
      </c>
      <c r="L62" s="1"/>
      <c r="M62" s="5" t="str">
        <f>_xlfn.XLOOKUP(TRIM(C62),MAPPING!A:A,MAPPING!B:B,"CHECK")</f>
        <v>Neral</v>
      </c>
      <c r="N62" s="5" t="str">
        <f>_xlfn.XLOOKUP(D62,MAPPING!G:G,MAPPING!H:H,"CHECK")</f>
        <v>Farmland</v>
      </c>
      <c r="O62" s="5" t="str">
        <f>_xlfn.XLOOKUP(E62,MAPPING!J:J,MAPPING!K:K,"CHECK")</f>
        <v>NA</v>
      </c>
      <c r="P62" s="5" t="str">
        <f>_xlfn.XLOOKUP(J62,MAPPING!M:M,MAPPING!N:N,"CHECK")</f>
        <v>Resale</v>
      </c>
      <c r="Q62" s="5">
        <f t="shared" si="0"/>
        <v>3409000.0000000005</v>
      </c>
      <c r="R62" s="5">
        <f t="shared" si="1"/>
        <v>22324.5</v>
      </c>
      <c r="S62" s="5">
        <f t="shared" si="2"/>
        <v>152.7021881789066</v>
      </c>
      <c r="T62" s="5"/>
      <c r="U62" s="5"/>
      <c r="V62" s="5"/>
      <c r="W62" s="5">
        <f t="shared" si="3"/>
        <v>0</v>
      </c>
      <c r="X62" s="5" t="str" cm="1">
        <f t="array" ref="X62">IFERROR(MEDIAN(_xlfn._xlws.FILTER($S$2:$S$209,($M$2:$M$209=U62)*($N$2:$N$209=V62)*($P$2:$P$209="Resale")*($S$2:$S$209&lt;&gt;""))),"")</f>
        <v/>
      </c>
      <c r="Y62" s="5" t="str">
        <f t="shared" si="5"/>
        <v/>
      </c>
      <c r="Z62" s="5">
        <f t="shared" si="7"/>
        <v>0</v>
      </c>
      <c r="AA62" s="5" t="str" cm="1">
        <f t="array" ref="AA62">IF(Z62=0,"",MEDIAN(_xlfn._xlws.FILTER($Y$2:$Y$209,($M$2:$M$209=U62)*($N$2:$N$209=V62)*($P$2:$P$209="Long Term Rental")*($Y$2:$Y$209&lt;&gt;""),"")))</f>
        <v/>
      </c>
      <c r="AB62" s="5" t="str">
        <f t="shared" si="4"/>
        <v/>
      </c>
      <c r="AC62" s="5" t="str" cm="1">
        <f t="array" ref="AC62">IFERROR(MEDIAN(_xlfn._xlws.FILTER($Q$2:$Q$209,($M$2:$M$209=U62)*($P$2:$P$209="Short Term Rental")*($Q$2:$Q$209&lt;&gt;""))),"")</f>
        <v/>
      </c>
    </row>
    <row r="63" spans="1:29" ht="15" thickBot="1" x14ac:dyDescent="0.4">
      <c r="A63" s="1" t="s">
        <v>120</v>
      </c>
      <c r="B63" s="1" t="s">
        <v>121</v>
      </c>
      <c r="C63" s="1" t="s">
        <v>23</v>
      </c>
      <c r="D63" s="1" t="s">
        <v>34</v>
      </c>
      <c r="E63" s="1" t="s">
        <v>35</v>
      </c>
      <c r="F63" s="3">
        <v>2165</v>
      </c>
      <c r="G63" s="1" t="s">
        <v>30</v>
      </c>
      <c r="H63" s="3">
        <v>96.9</v>
      </c>
      <c r="I63" s="1" t="s">
        <v>36</v>
      </c>
      <c r="J63" s="1" t="s">
        <v>37</v>
      </c>
      <c r="K63" s="1" t="s">
        <v>19</v>
      </c>
      <c r="L63" s="1"/>
      <c r="M63" s="5" t="str">
        <f>_xlfn.XLOOKUP(TRIM(C63),MAPPING!A:A,MAPPING!B:B,"CHECK")</f>
        <v>Neral</v>
      </c>
      <c r="N63" s="5" t="str">
        <f>_xlfn.XLOOKUP(D63,MAPPING!G:G,MAPPING!H:H,"CHECK")</f>
        <v>Villa</v>
      </c>
      <c r="O63" s="5" t="str">
        <f>_xlfn.XLOOKUP(E63,MAPPING!J:J,MAPPING!K:K,"CHECK")</f>
        <v>3 BHK</v>
      </c>
      <c r="P63" s="5" t="str">
        <f>_xlfn.XLOOKUP(J63,MAPPING!M:M,MAPPING!N:N,"CHECK")</f>
        <v>Resale</v>
      </c>
      <c r="Q63" s="5">
        <f t="shared" si="0"/>
        <v>9690000</v>
      </c>
      <c r="R63" s="5">
        <f t="shared" si="1"/>
        <v>2165</v>
      </c>
      <c r="S63" s="5">
        <f t="shared" si="2"/>
        <v>4475.7505773672056</v>
      </c>
      <c r="T63" s="5"/>
      <c r="U63" s="5"/>
      <c r="V63" s="5"/>
      <c r="W63" s="5">
        <f t="shared" si="3"/>
        <v>0</v>
      </c>
      <c r="X63" s="5" t="str" cm="1">
        <f t="array" ref="X63">IFERROR(MEDIAN(_xlfn._xlws.FILTER($S$2:$S$209,($M$2:$M$209=U63)*($N$2:$N$209=V63)*($P$2:$P$209="Resale")*($S$2:$S$209&lt;&gt;""))),"")</f>
        <v/>
      </c>
      <c r="Y63" s="5" t="str">
        <f t="shared" si="5"/>
        <v/>
      </c>
      <c r="Z63" s="5">
        <f t="shared" si="7"/>
        <v>0</v>
      </c>
      <c r="AA63" s="5" t="str" cm="1">
        <f t="array" ref="AA63">IF(Z63=0,"",MEDIAN(_xlfn._xlws.FILTER($Y$2:$Y$209,($M$2:$M$209=U63)*($N$2:$N$209=V63)*($P$2:$P$209="Long Term Rental")*($Y$2:$Y$209&lt;&gt;""),"")))</f>
        <v/>
      </c>
      <c r="AB63" s="5" t="str">
        <f t="shared" si="4"/>
        <v/>
      </c>
      <c r="AC63" s="5" t="str" cm="1">
        <f t="array" ref="AC63">IFERROR(MEDIAN(_xlfn._xlws.FILTER($Q$2:$Q$209,($M$2:$M$209=U63)*($P$2:$P$209="Short Term Rental")*($Q$2:$Q$209&lt;&gt;""))),"")</f>
        <v/>
      </c>
    </row>
    <row r="64" spans="1:29" ht="15" thickBot="1" x14ac:dyDescent="0.4">
      <c r="A64" s="1" t="s">
        <v>311</v>
      </c>
      <c r="B64" s="1" t="s">
        <v>312</v>
      </c>
      <c r="C64" s="1" t="s">
        <v>56</v>
      </c>
      <c r="D64" s="1" t="s">
        <v>63</v>
      </c>
      <c r="E64" s="1" t="s">
        <v>42</v>
      </c>
      <c r="F64" s="3">
        <v>1.85</v>
      </c>
      <c r="G64" s="1" t="s">
        <v>85</v>
      </c>
      <c r="H64" s="3">
        <v>6.66</v>
      </c>
      <c r="I64" s="1" t="s">
        <v>64</v>
      </c>
      <c r="J64" s="1" t="s">
        <v>37</v>
      </c>
      <c r="K64" s="1" t="s">
        <v>19</v>
      </c>
      <c r="L64" s="1"/>
      <c r="M64" s="5" t="str">
        <f>_xlfn.XLOOKUP(TRIM(C64),MAPPING!A:A,MAPPING!B:B,"CHECK")</f>
        <v>Neral</v>
      </c>
      <c r="N64" s="5" t="str">
        <f>_xlfn.XLOOKUP(D64,MAPPING!G:G,MAPPING!H:H,"CHECK")</f>
        <v>Plot</v>
      </c>
      <c r="O64" s="5" t="str">
        <f>_xlfn.XLOOKUP(E64,MAPPING!J:J,MAPPING!K:K,"CHECK")</f>
        <v>NA</v>
      </c>
      <c r="P64" s="5" t="str">
        <f>_xlfn.XLOOKUP(J64,MAPPING!M:M,MAPPING!N:N,"CHECK")</f>
        <v>Resale</v>
      </c>
      <c r="Q64" s="5">
        <f t="shared" si="0"/>
        <v>66600000</v>
      </c>
      <c r="R64" s="5">
        <f t="shared" si="1"/>
        <v>80586</v>
      </c>
      <c r="S64" s="5">
        <f t="shared" si="2"/>
        <v>826.44628099173553</v>
      </c>
      <c r="T64" s="5"/>
      <c r="U64" s="5"/>
      <c r="V64" s="5"/>
      <c r="W64" s="5">
        <f t="shared" si="3"/>
        <v>0</v>
      </c>
      <c r="X64" s="5" t="str" cm="1">
        <f t="array" ref="X64">IFERROR(MEDIAN(_xlfn._xlws.FILTER($S$2:$S$209,($M$2:$M$209=U64)*($N$2:$N$209=V64)*($P$2:$P$209="Resale")*($S$2:$S$209&lt;&gt;""))),"")</f>
        <v/>
      </c>
      <c r="Y64" s="5" t="str">
        <f t="shared" si="5"/>
        <v/>
      </c>
      <c r="Z64" s="5">
        <f t="shared" si="7"/>
        <v>0</v>
      </c>
      <c r="AA64" s="5" t="str" cm="1">
        <f t="array" ref="AA64">IF(Z64=0,"",MEDIAN(_xlfn._xlws.FILTER($Y$2:$Y$209,($M$2:$M$209=U64)*($N$2:$N$209=V64)*($P$2:$P$209="Long Term Rental")*($Y$2:$Y$209&lt;&gt;""),"")))</f>
        <v/>
      </c>
      <c r="AB64" s="5" t="str">
        <f t="shared" si="4"/>
        <v/>
      </c>
      <c r="AC64" s="5" t="str" cm="1">
        <f t="array" ref="AC64">IFERROR(MEDIAN(_xlfn._xlws.FILTER($Q$2:$Q$209,($M$2:$M$209=U64)*($P$2:$P$209="Short Term Rental")*($Q$2:$Q$209&lt;&gt;""))),"")</f>
        <v/>
      </c>
    </row>
    <row r="65" spans="1:29" ht="15" thickBot="1" x14ac:dyDescent="0.4">
      <c r="A65" s="1" t="s">
        <v>309</v>
      </c>
      <c r="B65" s="1" t="s">
        <v>310</v>
      </c>
      <c r="C65" s="1" t="s">
        <v>23</v>
      </c>
      <c r="D65" s="1" t="s">
        <v>131</v>
      </c>
      <c r="E65" s="1" t="s">
        <v>42</v>
      </c>
      <c r="F65" s="3">
        <v>3874</v>
      </c>
      <c r="G65" s="1" t="s">
        <v>30</v>
      </c>
      <c r="H65" s="3">
        <v>33.39</v>
      </c>
      <c r="I65" s="1" t="s">
        <v>36</v>
      </c>
      <c r="J65" s="1" t="s">
        <v>37</v>
      </c>
      <c r="K65" s="1" t="s">
        <v>19</v>
      </c>
      <c r="L65" s="1"/>
      <c r="M65" s="5" t="str">
        <f>_xlfn.XLOOKUP(TRIM(C65),MAPPING!A:A,MAPPING!B:B,"CHECK")</f>
        <v>Neral</v>
      </c>
      <c r="N65" s="5" t="str">
        <f>_xlfn.XLOOKUP(D65,MAPPING!G:G,MAPPING!H:H,"CHECK")</f>
        <v>Plot</v>
      </c>
      <c r="O65" s="5" t="str">
        <f>_xlfn.XLOOKUP(E65,MAPPING!J:J,MAPPING!K:K,"CHECK")</f>
        <v>NA</v>
      </c>
      <c r="P65" s="5" t="str">
        <f>_xlfn.XLOOKUP(J65,MAPPING!M:M,MAPPING!N:N,"CHECK")</f>
        <v>Resale</v>
      </c>
      <c r="Q65" s="5">
        <f t="shared" si="0"/>
        <v>3339000</v>
      </c>
      <c r="R65" s="5">
        <f t="shared" si="1"/>
        <v>3874</v>
      </c>
      <c r="S65" s="5">
        <f t="shared" si="2"/>
        <v>861.89984512132162</v>
      </c>
      <c r="T65" s="5"/>
      <c r="U65" s="5"/>
      <c r="V65" s="5"/>
      <c r="W65" s="5">
        <f t="shared" si="3"/>
        <v>0</v>
      </c>
      <c r="X65" s="5" t="str" cm="1">
        <f t="array" ref="X65">IFERROR(MEDIAN(_xlfn._xlws.FILTER($S$2:$S$209,($M$2:$M$209=U65)*($N$2:$N$209=V65)*($P$2:$P$209="Resale")*($S$2:$S$209&lt;&gt;""))),"")</f>
        <v/>
      </c>
      <c r="Y65" s="5" t="str">
        <f t="shared" si="5"/>
        <v/>
      </c>
      <c r="Z65" s="5">
        <f t="shared" si="7"/>
        <v>0</v>
      </c>
      <c r="AA65" s="5" t="str" cm="1">
        <f t="array" ref="AA65">IF(Z65=0,"",MEDIAN(_xlfn._xlws.FILTER($Y$2:$Y$209,($M$2:$M$209=U65)*($N$2:$N$209=V65)*($P$2:$P$209="Long Term Rental")*($Y$2:$Y$209&lt;&gt;""),"")))</f>
        <v/>
      </c>
      <c r="AB65" s="5" t="str">
        <f t="shared" si="4"/>
        <v/>
      </c>
      <c r="AC65" s="5" t="str" cm="1">
        <f t="array" ref="AC65">IFERROR(MEDIAN(_xlfn._xlws.FILTER($Q$2:$Q$209,($M$2:$M$209=U65)*($P$2:$P$209="Short Term Rental")*($Q$2:$Q$209&lt;&gt;""))),"")</f>
        <v/>
      </c>
    </row>
    <row r="66" spans="1:29" ht="15" thickBot="1" x14ac:dyDescent="0.4">
      <c r="A66" s="1" t="s">
        <v>368</v>
      </c>
      <c r="B66" s="1" t="s">
        <v>101</v>
      </c>
      <c r="C66" s="1" t="s">
        <v>23</v>
      </c>
      <c r="D66" s="1" t="s">
        <v>41</v>
      </c>
      <c r="E66" s="1" t="s">
        <v>42</v>
      </c>
      <c r="F66" s="3">
        <v>2.5499999999999998</v>
      </c>
      <c r="G66" s="1" t="s">
        <v>85</v>
      </c>
      <c r="H66" s="1"/>
      <c r="I66" s="1" t="s">
        <v>64</v>
      </c>
      <c r="J66" s="1" t="s">
        <v>37</v>
      </c>
      <c r="K66" s="1" t="s">
        <v>53</v>
      </c>
      <c r="L66" s="1"/>
      <c r="M66" s="5" t="str">
        <f>_xlfn.XLOOKUP(TRIM(C66),MAPPING!A:A,MAPPING!B:B,"CHECK")</f>
        <v>Neral</v>
      </c>
      <c r="N66" s="5" t="str">
        <f>_xlfn.XLOOKUP(D66,MAPPING!G:G,MAPPING!H:H,"CHECK")</f>
        <v>Plot</v>
      </c>
      <c r="O66" s="5" t="str">
        <f>_xlfn.XLOOKUP(E66,MAPPING!J:J,MAPPING!K:K,"CHECK")</f>
        <v>NA</v>
      </c>
      <c r="P66" s="5" t="str">
        <f>_xlfn.XLOOKUP(J66,MAPPING!M:M,MAPPING!N:N,"CHECK")</f>
        <v>Resale</v>
      </c>
      <c r="Q66" s="5">
        <f t="shared" ref="Q66:Q129" si="8">IF(I66="INR",H66,IF(I66="Lakh",H66*100000,IF(I66="Crore",H66*10000000,IF(I66="Thousand",H66*1000,""))))</f>
        <v>0</v>
      </c>
      <c r="R66" s="5">
        <f t="shared" ref="R66:R129" si="9">IF(G66="sqft",F66,IF(G66="sqyd",F66*9,IF(G66="acre",F66*43560,IF(G66="guntha",F66*1089,IF(G66="hectare",F66*107639.1,"")))))</f>
        <v>111077.99999999999</v>
      </c>
      <c r="S66" s="5">
        <f t="shared" ref="S66:S129" si="10">IF(AND(P66="Resale",R66&gt;0),Q66/R66,"")</f>
        <v>0</v>
      </c>
      <c r="T66" s="5"/>
      <c r="U66" s="5"/>
      <c r="V66" s="5"/>
      <c r="W66" s="5">
        <f t="shared" ref="W66:W129" si="11">COUNTIFS($M$2:$M$209,U66,$N$2:$N$209,V66,$P$2:$P$209,"Resale")</f>
        <v>0</v>
      </c>
      <c r="X66" s="5" t="str" cm="1">
        <f t="array" ref="X66">IFERROR(MEDIAN(_xlfn._xlws.FILTER($S$2:$S$209,($M$2:$M$209=U66)*($N$2:$N$209=V66)*($P$2:$P$209="Resale")*($S$2:$S$209&lt;&gt;""))),"")</f>
        <v/>
      </c>
      <c r="Y66" s="5" t="str">
        <f t="shared" ref="Y66:Y129" si="12">IF(AND(P66="Long Term Rental",R66&gt;0),Q66/R66,"")</f>
        <v/>
      </c>
      <c r="Z66" s="5">
        <f t="shared" ref="Z66:Z129" si="13">COUNTIFS($M$2:$M$209,U66,$P$2:$P$209,"Long Term Rental")</f>
        <v>0</v>
      </c>
      <c r="AA66" s="5" t="str" cm="1">
        <f t="array" ref="AA66">IF(Z66=0,"",MEDIAN(_xlfn._xlws.FILTER($Y$2:$Y$209,($M$2:$M$209=U66)*($N$2:$N$209=V66)*($P$2:$P$209="Long Term Rental")*($Y$2:$Y$209&lt;&gt;""),"")))</f>
        <v/>
      </c>
      <c r="AB66" s="5" t="str">
        <f t="shared" ref="AB66:AB129" si="14">IF(AND(V66="Villa",X66&lt;&gt;"",AA66&lt;&gt;""),(AA66*12/X66)*100,"")</f>
        <v/>
      </c>
      <c r="AC66" s="5" t="str" cm="1">
        <f t="array" ref="AC66">IFERROR(MEDIAN(_xlfn._xlws.FILTER($Q$2:$Q$209,($M$2:$M$209=U66)*($P$2:$P$209="Short Term Rental")*($Q$2:$Q$209&lt;&gt;""))),"")</f>
        <v/>
      </c>
    </row>
    <row r="67" spans="1:29" ht="15" thickBot="1" x14ac:dyDescent="0.4">
      <c r="A67" s="1" t="s">
        <v>172</v>
      </c>
      <c r="B67" s="1" t="s">
        <v>173</v>
      </c>
      <c r="C67" s="1" t="s">
        <v>56</v>
      </c>
      <c r="D67" s="1" t="s">
        <v>117</v>
      </c>
      <c r="E67" s="1" t="s">
        <v>42</v>
      </c>
      <c r="F67" s="3">
        <v>7667</v>
      </c>
      <c r="G67" s="1" t="s">
        <v>30</v>
      </c>
      <c r="H67" s="3">
        <v>11.19</v>
      </c>
      <c r="I67" s="1" t="s">
        <v>36</v>
      </c>
      <c r="J67" s="1" t="s">
        <v>37</v>
      </c>
      <c r="K67" s="1" t="s">
        <v>19</v>
      </c>
      <c r="L67" s="1"/>
      <c r="M67" s="5" t="str">
        <f>_xlfn.XLOOKUP(TRIM(C67),MAPPING!A:A,MAPPING!B:B,"CHECK")</f>
        <v>Neral</v>
      </c>
      <c r="N67" s="5" t="str">
        <f>_xlfn.XLOOKUP(D67,MAPPING!G:G,MAPPING!H:H,"CHECK")</f>
        <v>Farmland</v>
      </c>
      <c r="O67" s="5" t="str">
        <f>_xlfn.XLOOKUP(E67,MAPPING!J:J,MAPPING!K:K,"CHECK")</f>
        <v>NA</v>
      </c>
      <c r="P67" s="5" t="str">
        <f>_xlfn.XLOOKUP(J67,MAPPING!M:M,MAPPING!N:N,"CHECK")</f>
        <v>Resale</v>
      </c>
      <c r="Q67" s="5">
        <f t="shared" si="8"/>
        <v>1119000</v>
      </c>
      <c r="R67" s="5">
        <f t="shared" si="9"/>
        <v>7667</v>
      </c>
      <c r="S67" s="5">
        <f t="shared" si="10"/>
        <v>145.95017607930089</v>
      </c>
      <c r="T67" s="5"/>
      <c r="U67" s="5"/>
      <c r="V67" s="5"/>
      <c r="W67" s="5">
        <f t="shared" si="11"/>
        <v>0</v>
      </c>
      <c r="X67" s="5" t="str" cm="1">
        <f t="array" ref="X67">IFERROR(MEDIAN(_xlfn._xlws.FILTER($S$2:$S$209,($M$2:$M$209=U67)*($N$2:$N$209=V67)*($P$2:$P$209="Resale")*($S$2:$S$209&lt;&gt;""))),"")</f>
        <v/>
      </c>
      <c r="Y67" s="5" t="str">
        <f t="shared" si="12"/>
        <v/>
      </c>
      <c r="Z67" s="5">
        <f t="shared" si="13"/>
        <v>0</v>
      </c>
      <c r="AA67" s="5" t="str" cm="1">
        <f t="array" ref="AA67">IF(Z67=0,"",MEDIAN(_xlfn._xlws.FILTER($Y$2:$Y$209,($M$2:$M$209=U67)*($N$2:$N$209=V67)*($P$2:$P$209="Long Term Rental")*($Y$2:$Y$209&lt;&gt;""),"")))</f>
        <v/>
      </c>
      <c r="AB67" s="5" t="str">
        <f t="shared" si="14"/>
        <v/>
      </c>
      <c r="AC67" s="5" t="str" cm="1">
        <f t="array" ref="AC67">IFERROR(MEDIAN(_xlfn._xlws.FILTER($Q$2:$Q$209,($M$2:$M$209=U67)*($P$2:$P$209="Short Term Rental")*($Q$2:$Q$209&lt;&gt;""))),"")</f>
        <v/>
      </c>
    </row>
    <row r="68" spans="1:29" ht="15" thickBot="1" x14ac:dyDescent="0.4">
      <c r="A68" s="1" t="s">
        <v>54</v>
      </c>
      <c r="B68" s="1" t="s">
        <v>55</v>
      </c>
      <c r="C68" s="1" t="s">
        <v>56</v>
      </c>
      <c r="D68" s="1" t="s">
        <v>15</v>
      </c>
      <c r="E68" s="1" t="s">
        <v>29</v>
      </c>
      <c r="F68" s="3">
        <v>1158</v>
      </c>
      <c r="G68" s="1" t="s">
        <v>30</v>
      </c>
      <c r="H68" s="3">
        <v>16400</v>
      </c>
      <c r="I68" s="1" t="s">
        <v>17</v>
      </c>
      <c r="J68" s="1" t="s">
        <v>57</v>
      </c>
      <c r="K68" s="1" t="s">
        <v>19</v>
      </c>
      <c r="L68" s="1"/>
      <c r="M68" s="5" t="str">
        <f>_xlfn.XLOOKUP(TRIM(C68),MAPPING!A:A,MAPPING!B:B,"CHECK")</f>
        <v>Neral</v>
      </c>
      <c r="N68" s="5" t="str">
        <f>_xlfn.XLOOKUP(D68,MAPPING!G:G,MAPPING!H:H,"CHECK")</f>
        <v>Villa</v>
      </c>
      <c r="O68" s="5" t="str">
        <f>_xlfn.XLOOKUP(E68,MAPPING!J:J,MAPPING!K:K,"CHECK")</f>
        <v>4 BHK</v>
      </c>
      <c r="P68" s="5" t="str">
        <f>_xlfn.XLOOKUP(J68,MAPPING!M:M,MAPPING!N:N,"CHECK")</f>
        <v>Long Term Rental</v>
      </c>
      <c r="Q68" s="5">
        <f t="shared" si="8"/>
        <v>16400</v>
      </c>
      <c r="R68" s="5">
        <f t="shared" si="9"/>
        <v>1158</v>
      </c>
      <c r="S68" s="5" t="str">
        <f t="shared" si="10"/>
        <v/>
      </c>
      <c r="T68" s="5"/>
      <c r="U68" s="5"/>
      <c r="V68" s="5"/>
      <c r="W68" s="5">
        <f t="shared" si="11"/>
        <v>0</v>
      </c>
      <c r="X68" s="5" t="str" cm="1">
        <f t="array" ref="X68">IFERROR(MEDIAN(_xlfn._xlws.FILTER($S$2:$S$209,($M$2:$M$209=U68)*($N$2:$N$209=V68)*($P$2:$P$209="Resale")*($S$2:$S$209&lt;&gt;""))),"")</f>
        <v/>
      </c>
      <c r="Y68" s="5">
        <f t="shared" si="12"/>
        <v>14.162348877374784</v>
      </c>
      <c r="Z68" s="5">
        <f t="shared" si="13"/>
        <v>0</v>
      </c>
      <c r="AA68" s="5" t="str" cm="1">
        <f t="array" ref="AA68">IF(Z68=0,"",MEDIAN(_xlfn._xlws.FILTER($Y$2:$Y$209,($M$2:$M$209=U68)*($N$2:$N$209=V68)*($P$2:$P$209="Long Term Rental")*($Y$2:$Y$209&lt;&gt;""),"")))</f>
        <v/>
      </c>
      <c r="AB68" s="5" t="str">
        <f t="shared" si="14"/>
        <v/>
      </c>
      <c r="AC68" s="5" t="str" cm="1">
        <f t="array" ref="AC68">IFERROR(MEDIAN(_xlfn._xlws.FILTER($Q$2:$Q$209,($M$2:$M$209=U68)*($P$2:$P$209="Short Term Rental")*($Q$2:$Q$209&lt;&gt;""))),"")</f>
        <v/>
      </c>
    </row>
    <row r="69" spans="1:29" ht="15" thickBot="1" x14ac:dyDescent="0.4">
      <c r="A69" s="1" t="s">
        <v>272</v>
      </c>
      <c r="B69" s="1" t="s">
        <v>273</v>
      </c>
      <c r="C69" s="1" t="s">
        <v>56</v>
      </c>
      <c r="D69" s="1" t="s">
        <v>47</v>
      </c>
      <c r="E69" s="1" t="s">
        <v>29</v>
      </c>
      <c r="F69" s="3">
        <v>1667</v>
      </c>
      <c r="G69" s="1" t="s">
        <v>30</v>
      </c>
      <c r="H69" s="3">
        <v>20500</v>
      </c>
      <c r="I69" s="1" t="s">
        <v>17</v>
      </c>
      <c r="J69" s="1" t="s">
        <v>57</v>
      </c>
      <c r="K69" s="1" t="s">
        <v>19</v>
      </c>
      <c r="L69" s="1"/>
      <c r="M69" s="5" t="str">
        <f>_xlfn.XLOOKUP(TRIM(C69),MAPPING!A:A,MAPPING!B:B,"CHECK")</f>
        <v>Neral</v>
      </c>
      <c r="N69" s="5" t="str">
        <f>_xlfn.XLOOKUP(D69,MAPPING!G:G,MAPPING!H:H,"CHECK")</f>
        <v>Villa</v>
      </c>
      <c r="O69" s="5" t="str">
        <f>_xlfn.XLOOKUP(E69,MAPPING!J:J,MAPPING!K:K,"CHECK")</f>
        <v>4 BHK</v>
      </c>
      <c r="P69" s="5" t="str">
        <f>_xlfn.XLOOKUP(J69,MAPPING!M:M,MAPPING!N:N,"CHECK")</f>
        <v>Long Term Rental</v>
      </c>
      <c r="Q69" s="5">
        <f t="shared" si="8"/>
        <v>20500</v>
      </c>
      <c r="R69" s="5">
        <f t="shared" si="9"/>
        <v>1667</v>
      </c>
      <c r="S69" s="5" t="str">
        <f t="shared" si="10"/>
        <v/>
      </c>
      <c r="T69" s="5"/>
      <c r="U69" s="5"/>
      <c r="V69" s="5"/>
      <c r="W69" s="5">
        <f t="shared" si="11"/>
        <v>0</v>
      </c>
      <c r="X69" s="5" t="str" cm="1">
        <f t="array" ref="X69">IFERROR(MEDIAN(_xlfn._xlws.FILTER($S$2:$S$209,($M$2:$M$209=U69)*($N$2:$N$209=V69)*($P$2:$P$209="Resale")*($S$2:$S$209&lt;&gt;""))),"")</f>
        <v/>
      </c>
      <c r="Y69" s="5">
        <f t="shared" si="12"/>
        <v>12.29754049190162</v>
      </c>
      <c r="Z69" s="5">
        <f t="shared" si="13"/>
        <v>0</v>
      </c>
      <c r="AA69" s="5" t="str" cm="1">
        <f t="array" ref="AA69">IF(Z69=0,"",MEDIAN(_xlfn._xlws.FILTER($Y$2:$Y$209,($M$2:$M$209=U69)*($N$2:$N$209=V69)*($P$2:$P$209="Long Term Rental")*($Y$2:$Y$209&lt;&gt;""),"")))</f>
        <v/>
      </c>
      <c r="AB69" s="5" t="str">
        <f t="shared" si="14"/>
        <v/>
      </c>
      <c r="AC69" s="5" t="str" cm="1">
        <f t="array" ref="AC69">IFERROR(MEDIAN(_xlfn._xlws.FILTER($Q$2:$Q$209,($M$2:$M$209=U69)*($P$2:$P$209="Short Term Rental")*($Q$2:$Q$209&lt;&gt;""))),"")</f>
        <v/>
      </c>
    </row>
    <row r="70" spans="1:29" ht="15" thickBot="1" x14ac:dyDescent="0.4">
      <c r="A70" s="1" t="s">
        <v>210</v>
      </c>
      <c r="B70" s="1" t="s">
        <v>211</v>
      </c>
      <c r="C70" s="1" t="s">
        <v>23</v>
      </c>
      <c r="D70" s="1" t="s">
        <v>47</v>
      </c>
      <c r="E70" s="1" t="s">
        <v>25</v>
      </c>
      <c r="F70" s="3">
        <v>1224</v>
      </c>
      <c r="G70" s="1" t="s">
        <v>30</v>
      </c>
      <c r="H70" s="3">
        <v>16000</v>
      </c>
      <c r="I70" s="1" t="s">
        <v>17</v>
      </c>
      <c r="J70" s="1" t="s">
        <v>57</v>
      </c>
      <c r="K70" s="1" t="s">
        <v>19</v>
      </c>
      <c r="L70" s="1"/>
      <c r="M70" s="5" t="str">
        <f>_xlfn.XLOOKUP(TRIM(C70),MAPPING!A:A,MAPPING!B:B,"CHECK")</f>
        <v>Neral</v>
      </c>
      <c r="N70" s="5" t="str">
        <f>_xlfn.XLOOKUP(D70,MAPPING!G:G,MAPPING!H:H,"CHECK")</f>
        <v>Villa</v>
      </c>
      <c r="O70" s="5" t="str">
        <f>_xlfn.XLOOKUP(E70,MAPPING!J:J,MAPPING!K:K,"CHECK")</f>
        <v>3 BHK</v>
      </c>
      <c r="P70" s="5" t="str">
        <f>_xlfn.XLOOKUP(J70,MAPPING!M:M,MAPPING!N:N,"CHECK")</f>
        <v>Long Term Rental</v>
      </c>
      <c r="Q70" s="5">
        <f t="shared" si="8"/>
        <v>16000</v>
      </c>
      <c r="R70" s="5">
        <f t="shared" si="9"/>
        <v>1224</v>
      </c>
      <c r="S70" s="5" t="str">
        <f t="shared" si="10"/>
        <v/>
      </c>
      <c r="T70" s="5"/>
      <c r="U70" s="5"/>
      <c r="V70" s="5"/>
      <c r="W70" s="5">
        <f t="shared" si="11"/>
        <v>0</v>
      </c>
      <c r="X70" s="5" t="str" cm="1">
        <f t="array" ref="X70">IFERROR(MEDIAN(_xlfn._xlws.FILTER($S$2:$S$209,($M$2:$M$209=U70)*($N$2:$N$209=V70)*($P$2:$P$209="Resale")*($S$2:$S$209&lt;&gt;""))),"")</f>
        <v/>
      </c>
      <c r="Y70" s="5">
        <f t="shared" si="12"/>
        <v>13.071895424836601</v>
      </c>
      <c r="Z70" s="5">
        <f t="shared" si="13"/>
        <v>0</v>
      </c>
      <c r="AA70" s="5" t="str" cm="1">
        <f t="array" ref="AA70">IF(Z70=0,"",MEDIAN(_xlfn._xlws.FILTER($Y$2:$Y$209,($M$2:$M$209=U70)*($N$2:$N$209=V70)*($P$2:$P$209="Long Term Rental")*($Y$2:$Y$209&lt;&gt;""),"")))</f>
        <v/>
      </c>
      <c r="AB70" s="5" t="str">
        <f t="shared" si="14"/>
        <v/>
      </c>
      <c r="AC70" s="5" t="str" cm="1">
        <f t="array" ref="AC70">IFERROR(MEDIAN(_xlfn._xlws.FILTER($Q$2:$Q$209,($M$2:$M$209=U70)*($P$2:$P$209="Short Term Rental")*($Q$2:$Q$209&lt;&gt;""))),"")</f>
        <v/>
      </c>
    </row>
    <row r="71" spans="1:29" ht="15" thickBot="1" x14ac:dyDescent="0.4">
      <c r="A71" s="1" t="s">
        <v>226</v>
      </c>
      <c r="B71" s="1" t="s">
        <v>227</v>
      </c>
      <c r="C71" s="1" t="s">
        <v>23</v>
      </c>
      <c r="D71" s="1" t="s">
        <v>15</v>
      </c>
      <c r="E71" s="1" t="s">
        <v>16</v>
      </c>
      <c r="F71" s="3">
        <v>1206</v>
      </c>
      <c r="G71" s="1" t="s">
        <v>30</v>
      </c>
      <c r="H71" s="3">
        <v>16000</v>
      </c>
      <c r="I71" s="1" t="s">
        <v>17</v>
      </c>
      <c r="J71" s="1" t="s">
        <v>57</v>
      </c>
      <c r="K71" s="1" t="s">
        <v>19</v>
      </c>
      <c r="L71" s="1"/>
      <c r="M71" s="5" t="str">
        <f>_xlfn.XLOOKUP(TRIM(C71),MAPPING!A:A,MAPPING!B:B,"CHECK")</f>
        <v>Neral</v>
      </c>
      <c r="N71" s="5" t="str">
        <f>_xlfn.XLOOKUP(D71,MAPPING!G:G,MAPPING!H:H,"CHECK")</f>
        <v>Villa</v>
      </c>
      <c r="O71" s="5" t="str">
        <f>_xlfn.XLOOKUP(E71,MAPPING!J:J,MAPPING!K:K,"CHECK")</f>
        <v>3 BHK</v>
      </c>
      <c r="P71" s="5" t="str">
        <f>_xlfn.XLOOKUP(J71,MAPPING!M:M,MAPPING!N:N,"CHECK")</f>
        <v>Long Term Rental</v>
      </c>
      <c r="Q71" s="5">
        <f t="shared" si="8"/>
        <v>16000</v>
      </c>
      <c r="R71" s="5">
        <f t="shared" si="9"/>
        <v>1206</v>
      </c>
      <c r="S71" s="5" t="str">
        <f t="shared" si="10"/>
        <v/>
      </c>
      <c r="T71" s="5"/>
      <c r="U71" s="5"/>
      <c r="V71" s="5"/>
      <c r="W71" s="5">
        <f t="shared" si="11"/>
        <v>0</v>
      </c>
      <c r="X71" s="5" t="str" cm="1">
        <f t="array" ref="X71">IFERROR(MEDIAN(_xlfn._xlws.FILTER($S$2:$S$209,($M$2:$M$209=U71)*($N$2:$N$209=V71)*($P$2:$P$209="Resale")*($S$2:$S$209&lt;&gt;""))),"")</f>
        <v/>
      </c>
      <c r="Y71" s="5">
        <f t="shared" si="12"/>
        <v>13.266998341625207</v>
      </c>
      <c r="Z71" s="5">
        <f t="shared" si="13"/>
        <v>0</v>
      </c>
      <c r="AA71" s="5" t="str" cm="1">
        <f t="array" ref="AA71">IF(Z71=0,"",MEDIAN(_xlfn._xlws.FILTER($Y$2:$Y$209,($M$2:$M$209=U71)*($N$2:$N$209=V71)*($P$2:$P$209="Long Term Rental")*($Y$2:$Y$209&lt;&gt;""),"")))</f>
        <v/>
      </c>
      <c r="AB71" s="5" t="str">
        <f t="shared" si="14"/>
        <v/>
      </c>
      <c r="AC71" s="5" t="str" cm="1">
        <f t="array" ref="AC71">IFERROR(MEDIAN(_xlfn._xlws.FILTER($Q$2:$Q$209,($M$2:$M$209=U71)*($P$2:$P$209="Short Term Rental")*($Q$2:$Q$209&lt;&gt;""))),"")</f>
        <v/>
      </c>
    </row>
    <row r="72" spans="1:29" ht="15" thickBot="1" x14ac:dyDescent="0.4">
      <c r="A72" s="1" t="s">
        <v>113</v>
      </c>
      <c r="B72" s="1" t="s">
        <v>114</v>
      </c>
      <c r="C72" s="1" t="s">
        <v>23</v>
      </c>
      <c r="D72" s="1" t="s">
        <v>34</v>
      </c>
      <c r="E72" s="1" t="s">
        <v>35</v>
      </c>
      <c r="F72" s="3">
        <v>1976</v>
      </c>
      <c r="G72" s="1" t="s">
        <v>30</v>
      </c>
      <c r="H72" s="3">
        <v>27500</v>
      </c>
      <c r="I72" s="1" t="s">
        <v>17</v>
      </c>
      <c r="J72" s="1" t="s">
        <v>57</v>
      </c>
      <c r="K72" s="1" t="s">
        <v>19</v>
      </c>
      <c r="L72" s="1"/>
      <c r="M72" s="5" t="str">
        <f>_xlfn.XLOOKUP(TRIM(C72),MAPPING!A:A,MAPPING!B:B,"CHECK")</f>
        <v>Neral</v>
      </c>
      <c r="N72" s="5" t="str">
        <f>_xlfn.XLOOKUP(D72,MAPPING!G:G,MAPPING!H:H,"CHECK")</f>
        <v>Villa</v>
      </c>
      <c r="O72" s="5" t="str">
        <f>_xlfn.XLOOKUP(E72,MAPPING!J:J,MAPPING!K:K,"CHECK")</f>
        <v>3 BHK</v>
      </c>
      <c r="P72" s="5" t="str">
        <f>_xlfn.XLOOKUP(J72,MAPPING!M:M,MAPPING!N:N,"CHECK")</f>
        <v>Long Term Rental</v>
      </c>
      <c r="Q72" s="5">
        <f t="shared" si="8"/>
        <v>27500</v>
      </c>
      <c r="R72" s="5">
        <f t="shared" si="9"/>
        <v>1976</v>
      </c>
      <c r="S72" s="5" t="str">
        <f t="shared" si="10"/>
        <v/>
      </c>
      <c r="T72" s="5"/>
      <c r="U72" s="5"/>
      <c r="V72" s="5"/>
      <c r="W72" s="5">
        <f t="shared" si="11"/>
        <v>0</v>
      </c>
      <c r="X72" s="5" t="str" cm="1">
        <f t="array" ref="X72">IFERROR(MEDIAN(_xlfn._xlws.FILTER($S$2:$S$209,($M$2:$M$209=U72)*($N$2:$N$209=V72)*($P$2:$P$209="Resale")*($S$2:$S$209&lt;&gt;""))),"")</f>
        <v/>
      </c>
      <c r="Y72" s="5">
        <f t="shared" si="12"/>
        <v>13.917004048582996</v>
      </c>
      <c r="Z72" s="5">
        <f t="shared" si="13"/>
        <v>0</v>
      </c>
      <c r="AA72" s="5" t="str" cm="1">
        <f t="array" ref="AA72">IF(Z72=0,"",MEDIAN(_xlfn._xlws.FILTER($Y$2:$Y$209,($M$2:$M$209=U72)*($N$2:$N$209=V72)*($P$2:$P$209="Long Term Rental")*($Y$2:$Y$209&lt;&gt;""),"")))</f>
        <v/>
      </c>
      <c r="AB72" s="5" t="str">
        <f t="shared" si="14"/>
        <v/>
      </c>
      <c r="AC72" s="5" t="str" cm="1">
        <f t="array" ref="AC72">IFERROR(MEDIAN(_xlfn._xlws.FILTER($Q$2:$Q$209,($M$2:$M$209=U72)*($P$2:$P$209="Short Term Rental")*($Q$2:$Q$209&lt;&gt;""))),"")</f>
        <v/>
      </c>
    </row>
    <row r="73" spans="1:29" ht="15" thickBot="1" x14ac:dyDescent="0.4">
      <c r="A73" s="1" t="s">
        <v>294</v>
      </c>
      <c r="B73" s="1" t="s">
        <v>295</v>
      </c>
      <c r="C73" s="1" t="s">
        <v>82</v>
      </c>
      <c r="D73" s="1" t="s">
        <v>15</v>
      </c>
      <c r="E73" s="1" t="s">
        <v>16</v>
      </c>
      <c r="F73" s="3">
        <v>1063</v>
      </c>
      <c r="G73" s="1" t="s">
        <v>30</v>
      </c>
      <c r="H73" s="3">
        <v>12900</v>
      </c>
      <c r="I73" s="1" t="s">
        <v>17</v>
      </c>
      <c r="J73" s="1" t="s">
        <v>57</v>
      </c>
      <c r="K73" s="1" t="s">
        <v>19</v>
      </c>
      <c r="L73" s="1"/>
      <c r="M73" s="5" t="str">
        <f>_xlfn.XLOOKUP(TRIM(C73),MAPPING!A:A,MAPPING!B:B,"CHECK")</f>
        <v>Neral</v>
      </c>
      <c r="N73" s="5" t="str">
        <f>_xlfn.XLOOKUP(D73,MAPPING!G:G,MAPPING!H:H,"CHECK")</f>
        <v>Villa</v>
      </c>
      <c r="O73" s="5" t="str">
        <f>_xlfn.XLOOKUP(E73,MAPPING!J:J,MAPPING!K:K,"CHECK")</f>
        <v>3 BHK</v>
      </c>
      <c r="P73" s="5" t="str">
        <f>_xlfn.XLOOKUP(J73,MAPPING!M:M,MAPPING!N:N,"CHECK")</f>
        <v>Long Term Rental</v>
      </c>
      <c r="Q73" s="5">
        <f t="shared" si="8"/>
        <v>12900</v>
      </c>
      <c r="R73" s="5">
        <f t="shared" si="9"/>
        <v>1063</v>
      </c>
      <c r="S73" s="5" t="str">
        <f t="shared" si="10"/>
        <v/>
      </c>
      <c r="T73" s="5"/>
      <c r="U73" s="5"/>
      <c r="V73" s="5"/>
      <c r="W73" s="5">
        <f t="shared" si="11"/>
        <v>0</v>
      </c>
      <c r="X73" s="5" t="str" cm="1">
        <f t="array" ref="X73">IFERROR(MEDIAN(_xlfn._xlws.FILTER($S$2:$S$209,($M$2:$M$209=U73)*($N$2:$N$209=V73)*($P$2:$P$209="Resale")*($S$2:$S$209&lt;&gt;""))),"")</f>
        <v/>
      </c>
      <c r="Y73" s="5">
        <f t="shared" si="12"/>
        <v>12.13546566321731</v>
      </c>
      <c r="Z73" s="5">
        <f t="shared" si="13"/>
        <v>0</v>
      </c>
      <c r="AA73" s="5" t="str" cm="1">
        <f t="array" ref="AA73">IF(Z73=0,"",MEDIAN(_xlfn._xlws.FILTER($Y$2:$Y$209,($M$2:$M$209=U73)*($N$2:$N$209=V73)*($P$2:$P$209="Long Term Rental")*($Y$2:$Y$209&lt;&gt;""),"")))</f>
        <v/>
      </c>
      <c r="AB73" s="5" t="str">
        <f t="shared" si="14"/>
        <v/>
      </c>
      <c r="AC73" s="5" t="str" cm="1">
        <f t="array" ref="AC73">IFERROR(MEDIAN(_xlfn._xlws.FILTER($Q$2:$Q$209,($M$2:$M$209=U73)*($P$2:$P$209="Short Term Rental")*($Q$2:$Q$209&lt;&gt;""))),"")</f>
        <v/>
      </c>
    </row>
    <row r="74" spans="1:29" ht="15" thickBot="1" x14ac:dyDescent="0.4">
      <c r="A74" s="1" t="s">
        <v>274</v>
      </c>
      <c r="B74" s="1" t="s">
        <v>275</v>
      </c>
      <c r="C74" s="1" t="s">
        <v>56</v>
      </c>
      <c r="D74" s="1" t="s">
        <v>24</v>
      </c>
      <c r="E74" s="1" t="s">
        <v>48</v>
      </c>
      <c r="F74" s="3">
        <v>1356</v>
      </c>
      <c r="G74" s="1" t="s">
        <v>30</v>
      </c>
      <c r="H74" s="3">
        <v>17200</v>
      </c>
      <c r="I74" s="1" t="s">
        <v>17</v>
      </c>
      <c r="J74" s="1" t="s">
        <v>57</v>
      </c>
      <c r="K74" s="1" t="s">
        <v>19</v>
      </c>
      <c r="L74" s="1"/>
      <c r="M74" s="5" t="str">
        <f>_xlfn.XLOOKUP(TRIM(C74),MAPPING!A:A,MAPPING!B:B,"CHECK")</f>
        <v>Neral</v>
      </c>
      <c r="N74" s="5" t="str">
        <f>_xlfn.XLOOKUP(D74,MAPPING!G:G,MAPPING!H:H,"CHECK")</f>
        <v>Villa</v>
      </c>
      <c r="O74" s="5" t="str">
        <f>_xlfn.XLOOKUP(E74,MAPPING!J:J,MAPPING!K:K,"CHECK")</f>
        <v>2 BHK</v>
      </c>
      <c r="P74" s="5" t="str">
        <f>_xlfn.XLOOKUP(J74,MAPPING!M:M,MAPPING!N:N,"CHECK")</f>
        <v>Long Term Rental</v>
      </c>
      <c r="Q74" s="5">
        <f t="shared" si="8"/>
        <v>17200</v>
      </c>
      <c r="R74" s="5">
        <f t="shared" si="9"/>
        <v>1356</v>
      </c>
      <c r="S74" s="5" t="str">
        <f t="shared" si="10"/>
        <v/>
      </c>
      <c r="T74" s="5"/>
      <c r="U74" s="5"/>
      <c r="V74" s="5"/>
      <c r="W74" s="5">
        <f t="shared" si="11"/>
        <v>0</v>
      </c>
      <c r="X74" s="5" t="str" cm="1">
        <f t="array" ref="X74">IFERROR(MEDIAN(_xlfn._xlws.FILTER($S$2:$S$209,($M$2:$M$209=U74)*($N$2:$N$209=V74)*($P$2:$P$209="Resale")*($S$2:$S$209&lt;&gt;""))),"")</f>
        <v/>
      </c>
      <c r="Y74" s="5">
        <f t="shared" si="12"/>
        <v>12.684365781710914</v>
      </c>
      <c r="Z74" s="5">
        <f t="shared" si="13"/>
        <v>0</v>
      </c>
      <c r="AA74" s="5" t="str" cm="1">
        <f t="array" ref="AA74">IF(Z74=0,"",MEDIAN(_xlfn._xlws.FILTER($Y$2:$Y$209,($M$2:$M$209=U74)*($N$2:$N$209=V74)*($P$2:$P$209="Long Term Rental")*($Y$2:$Y$209&lt;&gt;""),"")))</f>
        <v/>
      </c>
      <c r="AB74" s="5" t="str">
        <f t="shared" si="14"/>
        <v/>
      </c>
      <c r="AC74" s="5" t="str" cm="1">
        <f t="array" ref="AC74">IFERROR(MEDIAN(_xlfn._xlws.FILTER($Q$2:$Q$209,($M$2:$M$209=U74)*($P$2:$P$209="Short Term Rental")*($Q$2:$Q$209&lt;&gt;""))),"")</f>
        <v/>
      </c>
    </row>
    <row r="75" spans="1:29" ht="15" thickBot="1" x14ac:dyDescent="0.4">
      <c r="A75" s="1" t="s">
        <v>180</v>
      </c>
      <c r="B75" s="1" t="s">
        <v>181</v>
      </c>
      <c r="C75" s="1" t="s">
        <v>182</v>
      </c>
      <c r="D75" s="1" t="s">
        <v>34</v>
      </c>
      <c r="E75" s="1" t="s">
        <v>25</v>
      </c>
      <c r="F75" s="3">
        <v>1567</v>
      </c>
      <c r="G75" s="1" t="s">
        <v>30</v>
      </c>
      <c r="H75" s="3">
        <v>20200</v>
      </c>
      <c r="I75" s="1" t="s">
        <v>17</v>
      </c>
      <c r="J75" s="1" t="s">
        <v>57</v>
      </c>
      <c r="K75" s="1" t="s">
        <v>19</v>
      </c>
      <c r="L75" s="1"/>
      <c r="M75" s="5" t="str">
        <f>_xlfn.XLOOKUP(TRIM(C75),MAPPING!A:A,MAPPING!B:B,"CHECK")</f>
        <v>Neral</v>
      </c>
      <c r="N75" s="5" t="str">
        <f>_xlfn.XLOOKUP(D75,MAPPING!G:G,MAPPING!H:H,"CHECK")</f>
        <v>Villa</v>
      </c>
      <c r="O75" s="5" t="str">
        <f>_xlfn.XLOOKUP(E75,MAPPING!J:J,MAPPING!K:K,"CHECK")</f>
        <v>3 BHK</v>
      </c>
      <c r="P75" s="5" t="str">
        <f>_xlfn.XLOOKUP(J75,MAPPING!M:M,MAPPING!N:N,"CHECK")</f>
        <v>Long Term Rental</v>
      </c>
      <c r="Q75" s="5">
        <f t="shared" si="8"/>
        <v>20200</v>
      </c>
      <c r="R75" s="5">
        <f t="shared" si="9"/>
        <v>1567</v>
      </c>
      <c r="S75" s="5" t="str">
        <f t="shared" si="10"/>
        <v/>
      </c>
      <c r="T75" s="5"/>
      <c r="U75" s="5"/>
      <c r="V75" s="5"/>
      <c r="W75" s="5">
        <f t="shared" si="11"/>
        <v>0</v>
      </c>
      <c r="X75" s="5" t="str" cm="1">
        <f t="array" ref="X75">IFERROR(MEDIAN(_xlfn._xlws.FILTER($S$2:$S$209,($M$2:$M$209=U75)*($N$2:$N$209=V75)*($P$2:$P$209="Resale")*($S$2:$S$209&lt;&gt;""))),"")</f>
        <v/>
      </c>
      <c r="Y75" s="5">
        <f t="shared" si="12"/>
        <v>12.890874282067646</v>
      </c>
      <c r="Z75" s="5">
        <f t="shared" si="13"/>
        <v>0</v>
      </c>
      <c r="AA75" s="5" t="str" cm="1">
        <f t="array" ref="AA75">IF(Z75=0,"",MEDIAN(_xlfn._xlws.FILTER($Y$2:$Y$209,($M$2:$M$209=U75)*($N$2:$N$209=V75)*($P$2:$P$209="Long Term Rental")*($Y$2:$Y$209&lt;&gt;""),"")))</f>
        <v/>
      </c>
      <c r="AB75" s="5" t="str">
        <f t="shared" si="14"/>
        <v/>
      </c>
      <c r="AC75" s="5" t="str" cm="1">
        <f t="array" ref="AC75">IFERROR(MEDIAN(_xlfn._xlws.FILTER($Q$2:$Q$209,($M$2:$M$209=U75)*($P$2:$P$209="Short Term Rental")*($Q$2:$Q$209&lt;&gt;""))),"")</f>
        <v/>
      </c>
    </row>
    <row r="76" spans="1:29" ht="15" thickBot="1" x14ac:dyDescent="0.4">
      <c r="A76" s="1" t="s">
        <v>80</v>
      </c>
      <c r="B76" s="1" t="s">
        <v>81</v>
      </c>
      <c r="C76" s="1" t="s">
        <v>82</v>
      </c>
      <c r="D76" s="2" t="s">
        <v>67</v>
      </c>
      <c r="E76" s="1" t="s">
        <v>25</v>
      </c>
      <c r="F76" s="3">
        <v>1679</v>
      </c>
      <c r="G76" s="1" t="s">
        <v>30</v>
      </c>
      <c r="H76" s="3">
        <v>21300</v>
      </c>
      <c r="I76" s="1" t="s">
        <v>17</v>
      </c>
      <c r="J76" s="1" t="s">
        <v>57</v>
      </c>
      <c r="K76" s="1" t="s">
        <v>19</v>
      </c>
      <c r="L76" s="1"/>
      <c r="M76" s="5" t="str">
        <f>_xlfn.XLOOKUP(TRIM(C76),MAPPING!A:A,MAPPING!B:B,"CHECK")</f>
        <v>Neral</v>
      </c>
      <c r="N76" s="5" t="str">
        <f>_xlfn.XLOOKUP(D76,MAPPING!G:G,MAPPING!H:H,"CHECK")</f>
        <v>Villa</v>
      </c>
      <c r="O76" s="5" t="str">
        <f>_xlfn.XLOOKUP(E76,MAPPING!J:J,MAPPING!K:K,"CHECK")</f>
        <v>3 BHK</v>
      </c>
      <c r="P76" s="5" t="str">
        <f>_xlfn.XLOOKUP(J76,MAPPING!M:M,MAPPING!N:N,"CHECK")</f>
        <v>Long Term Rental</v>
      </c>
      <c r="Q76" s="5">
        <f t="shared" si="8"/>
        <v>21300</v>
      </c>
      <c r="R76" s="5">
        <f t="shared" si="9"/>
        <v>1679</v>
      </c>
      <c r="S76" s="5" t="str">
        <f t="shared" si="10"/>
        <v/>
      </c>
      <c r="T76" s="5"/>
      <c r="U76" s="5"/>
      <c r="V76" s="5"/>
      <c r="W76" s="5">
        <f t="shared" si="11"/>
        <v>0</v>
      </c>
      <c r="X76" s="5" t="str" cm="1">
        <f t="array" ref="X76">IFERROR(MEDIAN(_xlfn._xlws.FILTER($S$2:$S$209,($M$2:$M$209=U76)*($N$2:$N$209=V76)*($P$2:$P$209="Resale")*($S$2:$S$209&lt;&gt;""))),"")</f>
        <v/>
      </c>
      <c r="Y76" s="5">
        <f t="shared" si="12"/>
        <v>12.686122692078618</v>
      </c>
      <c r="Z76" s="5">
        <f t="shared" si="13"/>
        <v>0</v>
      </c>
      <c r="AA76" s="5" t="str" cm="1">
        <f t="array" ref="AA76">IF(Z76=0,"",MEDIAN(_xlfn._xlws.FILTER($Y$2:$Y$209,($M$2:$M$209=U76)*($N$2:$N$209=V76)*($P$2:$P$209="Long Term Rental")*($Y$2:$Y$209&lt;&gt;""),"")))</f>
        <v/>
      </c>
      <c r="AB76" s="5" t="str">
        <f t="shared" si="14"/>
        <v/>
      </c>
      <c r="AC76" s="5" t="str" cm="1">
        <f t="array" ref="AC76">IFERROR(MEDIAN(_xlfn._xlws.FILTER($Q$2:$Q$209,($M$2:$M$209=U76)*($P$2:$P$209="Short Term Rental")*($Q$2:$Q$209&lt;&gt;""))),"")</f>
        <v/>
      </c>
    </row>
    <row r="77" spans="1:29" ht="15" thickBot="1" x14ac:dyDescent="0.4">
      <c r="A77" s="1" t="s">
        <v>315</v>
      </c>
      <c r="B77" s="2" t="s">
        <v>316</v>
      </c>
      <c r="C77" s="1" t="s">
        <v>23</v>
      </c>
      <c r="D77" s="1" t="s">
        <v>15</v>
      </c>
      <c r="E77" s="1" t="s">
        <v>35</v>
      </c>
      <c r="F77" s="1"/>
      <c r="G77" s="1"/>
      <c r="H77" s="3">
        <v>5900</v>
      </c>
      <c r="I77" s="1" t="s">
        <v>17</v>
      </c>
      <c r="J77" s="1" t="s">
        <v>18</v>
      </c>
      <c r="K77" s="1" t="s">
        <v>19</v>
      </c>
      <c r="L77" s="1" t="s">
        <v>20</v>
      </c>
      <c r="M77" s="5" t="str">
        <f>_xlfn.XLOOKUP(TRIM(C77),MAPPING!A:A,MAPPING!B:B,"CHECK")</f>
        <v>Neral</v>
      </c>
      <c r="N77" s="5" t="str">
        <f>_xlfn.XLOOKUP(D77,MAPPING!G:G,MAPPING!H:H,"CHECK")</f>
        <v>Villa</v>
      </c>
      <c r="O77" s="5" t="str">
        <f>_xlfn.XLOOKUP(E77,MAPPING!J:J,MAPPING!K:K,"CHECK")</f>
        <v>3 BHK</v>
      </c>
      <c r="P77" s="5" t="str">
        <f>_xlfn.XLOOKUP(J77,MAPPING!M:M,MAPPING!N:N,"CHECK")</f>
        <v>Short Term Rental</v>
      </c>
      <c r="Q77" s="5">
        <f t="shared" si="8"/>
        <v>5900</v>
      </c>
      <c r="R77" s="5" t="str">
        <f t="shared" si="9"/>
        <v/>
      </c>
      <c r="S77" s="5" t="str">
        <f t="shared" si="10"/>
        <v/>
      </c>
      <c r="T77" s="5"/>
      <c r="U77" s="5"/>
      <c r="V77" s="5"/>
      <c r="W77" s="5">
        <f t="shared" si="11"/>
        <v>0</v>
      </c>
      <c r="X77" s="5" t="str" cm="1">
        <f t="array" ref="X77">IFERROR(MEDIAN(_xlfn._xlws.FILTER($S$2:$S$209,($M$2:$M$209=U77)*($N$2:$N$209=V77)*($P$2:$P$209="Resale")*($S$2:$S$209&lt;&gt;""))),"")</f>
        <v/>
      </c>
      <c r="Y77" s="5" t="str">
        <f t="shared" si="12"/>
        <v/>
      </c>
      <c r="Z77" s="5">
        <f t="shared" si="13"/>
        <v>0</v>
      </c>
      <c r="AA77" s="5" t="str" cm="1">
        <f t="array" ref="AA77">IF(Z77=0,"",MEDIAN(_xlfn._xlws.FILTER($Y$2:$Y$209,($M$2:$M$209=U77)*($N$2:$N$209=V77)*($P$2:$P$209="Long Term Rental")*($Y$2:$Y$209&lt;&gt;""),"")))</f>
        <v/>
      </c>
      <c r="AB77" s="5" t="str">
        <f t="shared" si="14"/>
        <v/>
      </c>
      <c r="AC77" s="5" t="str" cm="1">
        <f t="array" ref="AC77">IFERROR(MEDIAN(_xlfn._xlws.FILTER($Q$2:$Q$209,($M$2:$M$209=U77)*($P$2:$P$209="Short Term Rental")*($Q$2:$Q$209&lt;&gt;""))),"")</f>
        <v/>
      </c>
    </row>
    <row r="78" spans="1:29" ht="15" thickBot="1" x14ac:dyDescent="0.4">
      <c r="A78" s="1" t="s">
        <v>174</v>
      </c>
      <c r="B78" s="2" t="s">
        <v>175</v>
      </c>
      <c r="C78" s="1" t="s">
        <v>23</v>
      </c>
      <c r="D78" s="1" t="s">
        <v>24</v>
      </c>
      <c r="E78" s="1" t="s">
        <v>29</v>
      </c>
      <c r="F78" s="1"/>
      <c r="G78" s="1"/>
      <c r="H78" s="3">
        <v>3600</v>
      </c>
      <c r="I78" s="1" t="s">
        <v>17</v>
      </c>
      <c r="J78" s="1" t="s">
        <v>18</v>
      </c>
      <c r="K78" s="1" t="s">
        <v>19</v>
      </c>
      <c r="L78" s="1" t="s">
        <v>20</v>
      </c>
      <c r="M78" s="5" t="str">
        <f>_xlfn.XLOOKUP(TRIM(C78),MAPPING!A:A,MAPPING!B:B,"CHECK")</f>
        <v>Neral</v>
      </c>
      <c r="N78" s="5" t="str">
        <f>_xlfn.XLOOKUP(D78,MAPPING!G:G,MAPPING!H:H,"CHECK")</f>
        <v>Villa</v>
      </c>
      <c r="O78" s="5" t="str">
        <f>_xlfn.XLOOKUP(E78,MAPPING!J:J,MAPPING!K:K,"CHECK")</f>
        <v>4 BHK</v>
      </c>
      <c r="P78" s="5" t="str">
        <f>_xlfn.XLOOKUP(J78,MAPPING!M:M,MAPPING!N:N,"CHECK")</f>
        <v>Short Term Rental</v>
      </c>
      <c r="Q78" s="5">
        <f t="shared" si="8"/>
        <v>3600</v>
      </c>
      <c r="R78" s="5" t="str">
        <f t="shared" si="9"/>
        <v/>
      </c>
      <c r="S78" s="5" t="str">
        <f t="shared" si="10"/>
        <v/>
      </c>
      <c r="T78" s="5"/>
      <c r="U78" s="5"/>
      <c r="V78" s="5"/>
      <c r="W78" s="5">
        <f t="shared" si="11"/>
        <v>0</v>
      </c>
      <c r="X78" s="5" t="str" cm="1">
        <f t="array" ref="X78">IFERROR(MEDIAN(_xlfn._xlws.FILTER($S$2:$S$209,($M$2:$M$209=U78)*($N$2:$N$209=V78)*($P$2:$P$209="Resale")*($S$2:$S$209&lt;&gt;""))),"")</f>
        <v/>
      </c>
      <c r="Y78" s="5" t="str">
        <f t="shared" si="12"/>
        <v/>
      </c>
      <c r="Z78" s="5">
        <f t="shared" si="13"/>
        <v>0</v>
      </c>
      <c r="AA78" s="5" t="str" cm="1">
        <f t="array" ref="AA78">IF(Z78=0,"",MEDIAN(_xlfn._xlws.FILTER($Y$2:$Y$209,($M$2:$M$209=U78)*($N$2:$N$209=V78)*($P$2:$P$209="Long Term Rental")*($Y$2:$Y$209&lt;&gt;""),"")))</f>
        <v/>
      </c>
      <c r="AB78" s="5" t="str">
        <f t="shared" si="14"/>
        <v/>
      </c>
      <c r="AC78" s="5" t="str" cm="1">
        <f t="array" ref="AC78">IFERROR(MEDIAN(_xlfn._xlws.FILTER($Q$2:$Q$209,($M$2:$M$209=U78)*($P$2:$P$209="Short Term Rental")*($Q$2:$Q$209&lt;&gt;""))),"")</f>
        <v/>
      </c>
    </row>
    <row r="79" spans="1:29" ht="15" thickBot="1" x14ac:dyDescent="0.4">
      <c r="A79" s="1" t="s">
        <v>333</v>
      </c>
      <c r="B79" s="1" t="s">
        <v>334</v>
      </c>
      <c r="C79" s="1" t="s">
        <v>56</v>
      </c>
      <c r="D79" s="1" t="s">
        <v>15</v>
      </c>
      <c r="E79" s="1" t="s">
        <v>25</v>
      </c>
      <c r="F79" s="1"/>
      <c r="G79" s="1"/>
      <c r="H79" s="3">
        <v>5900</v>
      </c>
      <c r="I79" s="1" t="s">
        <v>17</v>
      </c>
      <c r="J79" s="1" t="s">
        <v>18</v>
      </c>
      <c r="K79" s="1" t="s">
        <v>19</v>
      </c>
      <c r="L79" s="1" t="s">
        <v>20</v>
      </c>
      <c r="M79" s="5" t="str">
        <f>_xlfn.XLOOKUP(TRIM(C79),MAPPING!A:A,MAPPING!B:B,"CHECK")</f>
        <v>Neral</v>
      </c>
      <c r="N79" s="5" t="str">
        <f>_xlfn.XLOOKUP(D79,MAPPING!G:G,MAPPING!H:H,"CHECK")</f>
        <v>Villa</v>
      </c>
      <c r="O79" s="5" t="str">
        <f>_xlfn.XLOOKUP(E79,MAPPING!J:J,MAPPING!K:K,"CHECK")</f>
        <v>3 BHK</v>
      </c>
      <c r="P79" s="5" t="str">
        <f>_xlfn.XLOOKUP(J79,MAPPING!M:M,MAPPING!N:N,"CHECK")</f>
        <v>Short Term Rental</v>
      </c>
      <c r="Q79" s="5">
        <f t="shared" si="8"/>
        <v>5900</v>
      </c>
      <c r="R79" s="5" t="str">
        <f t="shared" si="9"/>
        <v/>
      </c>
      <c r="S79" s="5" t="str">
        <f t="shared" si="10"/>
        <v/>
      </c>
      <c r="T79" s="5"/>
      <c r="U79" s="5"/>
      <c r="V79" s="5"/>
      <c r="W79" s="5">
        <f t="shared" si="11"/>
        <v>0</v>
      </c>
      <c r="X79" s="5" t="str" cm="1">
        <f t="array" ref="X79">IFERROR(MEDIAN(_xlfn._xlws.FILTER($S$2:$S$209,($M$2:$M$209=U79)*($N$2:$N$209=V79)*($P$2:$P$209="Resale")*($S$2:$S$209&lt;&gt;""))),"")</f>
        <v/>
      </c>
      <c r="Y79" s="5" t="str">
        <f t="shared" si="12"/>
        <v/>
      </c>
      <c r="Z79" s="5">
        <f t="shared" si="13"/>
        <v>0</v>
      </c>
      <c r="AA79" s="5" t="str" cm="1">
        <f t="array" ref="AA79">IF(Z79=0,"",MEDIAN(_xlfn._xlws.FILTER($Y$2:$Y$209,($M$2:$M$209=U79)*($N$2:$N$209=V79)*($P$2:$P$209="Long Term Rental")*($Y$2:$Y$209&lt;&gt;""),"")))</f>
        <v/>
      </c>
      <c r="AB79" s="5" t="str">
        <f t="shared" si="14"/>
        <v/>
      </c>
      <c r="AC79" s="5" t="str" cm="1">
        <f t="array" ref="AC79">IFERROR(MEDIAN(_xlfn._xlws.FILTER($Q$2:$Q$209,($M$2:$M$209=U79)*($P$2:$P$209="Short Term Rental")*($Q$2:$Q$209&lt;&gt;""))),"")</f>
        <v/>
      </c>
    </row>
    <row r="80" spans="1:29" ht="15" thickBot="1" x14ac:dyDescent="0.4">
      <c r="A80" s="1" t="s">
        <v>317</v>
      </c>
      <c r="B80" s="1" t="s">
        <v>318</v>
      </c>
      <c r="C80" s="1" t="s">
        <v>56</v>
      </c>
      <c r="D80" s="1" t="s">
        <v>47</v>
      </c>
      <c r="E80" s="1" t="s">
        <v>35</v>
      </c>
      <c r="F80" s="1"/>
      <c r="G80" s="1"/>
      <c r="H80" s="3">
        <v>4200</v>
      </c>
      <c r="I80" s="1" t="s">
        <v>17</v>
      </c>
      <c r="J80" s="1" t="s">
        <v>18</v>
      </c>
      <c r="K80" s="1" t="s">
        <v>19</v>
      </c>
      <c r="L80" s="1" t="s">
        <v>20</v>
      </c>
      <c r="M80" s="5" t="str">
        <f>_xlfn.XLOOKUP(TRIM(C80),MAPPING!A:A,MAPPING!B:B,"CHECK")</f>
        <v>Neral</v>
      </c>
      <c r="N80" s="5" t="str">
        <f>_xlfn.XLOOKUP(D80,MAPPING!G:G,MAPPING!H:H,"CHECK")</f>
        <v>Villa</v>
      </c>
      <c r="O80" s="5" t="str">
        <f>_xlfn.XLOOKUP(E80,MAPPING!J:J,MAPPING!K:K,"CHECK")</f>
        <v>3 BHK</v>
      </c>
      <c r="P80" s="5" t="str">
        <f>_xlfn.XLOOKUP(J80,MAPPING!M:M,MAPPING!N:N,"CHECK")</f>
        <v>Short Term Rental</v>
      </c>
      <c r="Q80" s="5">
        <f t="shared" si="8"/>
        <v>4200</v>
      </c>
      <c r="R80" s="5" t="str">
        <f t="shared" si="9"/>
        <v/>
      </c>
      <c r="S80" s="5" t="str">
        <f t="shared" si="10"/>
        <v/>
      </c>
      <c r="T80" s="5"/>
      <c r="U80" s="5"/>
      <c r="V80" s="5"/>
      <c r="W80" s="5">
        <f t="shared" si="11"/>
        <v>0</v>
      </c>
      <c r="X80" s="5" t="str" cm="1">
        <f t="array" ref="X80">IFERROR(MEDIAN(_xlfn._xlws.FILTER($S$2:$S$209,($M$2:$M$209=U80)*($N$2:$N$209=V80)*($P$2:$P$209="Resale")*($S$2:$S$209&lt;&gt;""))),"")</f>
        <v/>
      </c>
      <c r="Y80" s="5" t="str">
        <f t="shared" si="12"/>
        <v/>
      </c>
      <c r="Z80" s="5">
        <f t="shared" si="13"/>
        <v>0</v>
      </c>
      <c r="AA80" s="5" t="str" cm="1">
        <f t="array" ref="AA80">IF(Z80=0,"",MEDIAN(_xlfn._xlws.FILTER($Y$2:$Y$209,($M$2:$M$209=U80)*($N$2:$N$209=V80)*($P$2:$P$209="Long Term Rental")*($Y$2:$Y$209&lt;&gt;""),"")))</f>
        <v/>
      </c>
      <c r="AB80" s="5" t="str">
        <f t="shared" si="14"/>
        <v/>
      </c>
      <c r="AC80" s="5" t="str" cm="1">
        <f t="array" ref="AC80">IFERROR(MEDIAN(_xlfn._xlws.FILTER($Q$2:$Q$209,($M$2:$M$209=U80)*($P$2:$P$209="Short Term Rental")*($Q$2:$Q$209&lt;&gt;""))),"")</f>
        <v/>
      </c>
    </row>
    <row r="81" spans="1:29" ht="15" thickBot="1" x14ac:dyDescent="0.4">
      <c r="A81" s="1" t="s">
        <v>266</v>
      </c>
      <c r="B81" s="2" t="s">
        <v>267</v>
      </c>
      <c r="C81" s="1" t="s">
        <v>23</v>
      </c>
      <c r="D81" s="1" t="s">
        <v>15</v>
      </c>
      <c r="E81" s="1" t="s">
        <v>25</v>
      </c>
      <c r="F81" s="1"/>
      <c r="G81" s="1"/>
      <c r="H81" s="3">
        <v>6700</v>
      </c>
      <c r="I81" s="1" t="s">
        <v>17</v>
      </c>
      <c r="J81" s="1" t="s">
        <v>18</v>
      </c>
      <c r="K81" s="1" t="s">
        <v>19</v>
      </c>
      <c r="L81" s="1" t="s">
        <v>20</v>
      </c>
      <c r="M81" s="5" t="str">
        <f>_xlfn.XLOOKUP(TRIM(C81),MAPPING!A:A,MAPPING!B:B,"CHECK")</f>
        <v>Neral</v>
      </c>
      <c r="N81" s="5" t="str">
        <f>_xlfn.XLOOKUP(D81,MAPPING!G:G,MAPPING!H:H,"CHECK")</f>
        <v>Villa</v>
      </c>
      <c r="O81" s="5" t="str">
        <f>_xlfn.XLOOKUP(E81,MAPPING!J:J,MAPPING!K:K,"CHECK")</f>
        <v>3 BHK</v>
      </c>
      <c r="P81" s="5" t="str">
        <f>_xlfn.XLOOKUP(J81,MAPPING!M:M,MAPPING!N:N,"CHECK")</f>
        <v>Short Term Rental</v>
      </c>
      <c r="Q81" s="5">
        <f t="shared" si="8"/>
        <v>6700</v>
      </c>
      <c r="R81" s="5" t="str">
        <f t="shared" si="9"/>
        <v/>
      </c>
      <c r="S81" s="5" t="str">
        <f t="shared" si="10"/>
        <v/>
      </c>
      <c r="T81" s="5"/>
      <c r="U81" s="5"/>
      <c r="V81" s="5"/>
      <c r="W81" s="5">
        <f t="shared" si="11"/>
        <v>0</v>
      </c>
      <c r="X81" s="5" t="str" cm="1">
        <f t="array" ref="X81">IFERROR(MEDIAN(_xlfn._xlws.FILTER($S$2:$S$209,($M$2:$M$209=U81)*($N$2:$N$209=V81)*($P$2:$P$209="Resale")*($S$2:$S$209&lt;&gt;""))),"")</f>
        <v/>
      </c>
      <c r="Y81" s="5" t="str">
        <f t="shared" si="12"/>
        <v/>
      </c>
      <c r="Z81" s="5">
        <f t="shared" si="13"/>
        <v>0</v>
      </c>
      <c r="AA81" s="5" t="str" cm="1">
        <f t="array" ref="AA81">IF(Z81=0,"",MEDIAN(_xlfn._xlws.FILTER($Y$2:$Y$209,($M$2:$M$209=U81)*($N$2:$N$209=V81)*($P$2:$P$209="Long Term Rental")*($Y$2:$Y$209&lt;&gt;""),"")))</f>
        <v/>
      </c>
      <c r="AB81" s="5" t="str">
        <f t="shared" si="14"/>
        <v/>
      </c>
      <c r="AC81" s="5" t="str" cm="1">
        <f t="array" ref="AC81">IFERROR(MEDIAN(_xlfn._xlws.FILTER($Q$2:$Q$209,($M$2:$M$209=U81)*($P$2:$P$209="Short Term Rental")*($Q$2:$Q$209&lt;&gt;""))),"")</f>
        <v/>
      </c>
    </row>
    <row r="82" spans="1:29" ht="15" thickBot="1" x14ac:dyDescent="0.4">
      <c r="A82" s="1" t="s">
        <v>426</v>
      </c>
      <c r="B82" s="2" t="s">
        <v>427</v>
      </c>
      <c r="C82" s="1" t="s">
        <v>82</v>
      </c>
      <c r="D82" s="1" t="s">
        <v>24</v>
      </c>
      <c r="E82" s="1" t="s">
        <v>52</v>
      </c>
      <c r="F82" s="1"/>
      <c r="G82" s="1"/>
      <c r="H82" s="3">
        <v>4900</v>
      </c>
      <c r="I82" s="1" t="s">
        <v>17</v>
      </c>
      <c r="J82" s="1" t="s">
        <v>18</v>
      </c>
      <c r="K82" s="1" t="s">
        <v>19</v>
      </c>
      <c r="L82" s="1" t="s">
        <v>20</v>
      </c>
      <c r="M82" s="5" t="str">
        <f>_xlfn.XLOOKUP(TRIM(C82),MAPPING!A:A,MAPPING!B:B,"CHECK")</f>
        <v>Neral</v>
      </c>
      <c r="N82" s="5" t="str">
        <f>_xlfn.XLOOKUP(D82,MAPPING!G:G,MAPPING!H:H,"CHECK")</f>
        <v>Villa</v>
      </c>
      <c r="O82" s="5" t="str">
        <f>_xlfn.XLOOKUP(E82,MAPPING!J:J,MAPPING!K:K,"CHECK")</f>
        <v>2 BHK</v>
      </c>
      <c r="P82" s="5" t="str">
        <f>_xlfn.XLOOKUP(J82,MAPPING!M:M,MAPPING!N:N,"CHECK")</f>
        <v>Short Term Rental</v>
      </c>
      <c r="Q82" s="5">
        <f t="shared" si="8"/>
        <v>4900</v>
      </c>
      <c r="R82" s="5" t="str">
        <f t="shared" si="9"/>
        <v/>
      </c>
      <c r="S82" s="5" t="str">
        <f t="shared" si="10"/>
        <v/>
      </c>
      <c r="T82" s="5"/>
      <c r="U82" s="5"/>
      <c r="V82" s="5"/>
      <c r="W82" s="5">
        <f t="shared" si="11"/>
        <v>0</v>
      </c>
      <c r="X82" s="5" t="str" cm="1">
        <f t="array" ref="X82">IFERROR(MEDIAN(_xlfn._xlws.FILTER($S$2:$S$209,($M$2:$M$209=U82)*($N$2:$N$209=V82)*($P$2:$P$209="Resale")*($S$2:$S$209&lt;&gt;""))),"")</f>
        <v/>
      </c>
      <c r="Y82" s="5" t="str">
        <f t="shared" si="12"/>
        <v/>
      </c>
      <c r="Z82" s="5">
        <f t="shared" si="13"/>
        <v>0</v>
      </c>
      <c r="AA82" s="5" t="str" cm="1">
        <f t="array" ref="AA82">IF(Z82=0,"",MEDIAN(_xlfn._xlws.FILTER($Y$2:$Y$209,($M$2:$M$209=U82)*($N$2:$N$209=V82)*($P$2:$P$209="Long Term Rental")*($Y$2:$Y$209&lt;&gt;""),"")))</f>
        <v/>
      </c>
      <c r="AB82" s="5" t="str">
        <f t="shared" si="14"/>
        <v/>
      </c>
      <c r="AC82" s="5" t="str" cm="1">
        <f t="array" ref="AC82">IFERROR(MEDIAN(_xlfn._xlws.FILTER($Q$2:$Q$209,($M$2:$M$209=U82)*($P$2:$P$209="Short Term Rental")*($Q$2:$Q$209&lt;&gt;""))),"")</f>
        <v/>
      </c>
    </row>
    <row r="83" spans="1:29" ht="15" thickBot="1" x14ac:dyDescent="0.4">
      <c r="A83" s="1" t="s">
        <v>176</v>
      </c>
      <c r="B83" s="1" t="s">
        <v>177</v>
      </c>
      <c r="C83" s="1" t="s">
        <v>56</v>
      </c>
      <c r="D83" s="1" t="s">
        <v>24</v>
      </c>
      <c r="E83" s="1" t="s">
        <v>35</v>
      </c>
      <c r="F83" s="1"/>
      <c r="G83" s="1"/>
      <c r="H83" s="3">
        <v>6700</v>
      </c>
      <c r="I83" s="1" t="s">
        <v>17</v>
      </c>
      <c r="J83" s="1" t="s">
        <v>18</v>
      </c>
      <c r="K83" s="1" t="s">
        <v>19</v>
      </c>
      <c r="L83" s="1" t="s">
        <v>20</v>
      </c>
      <c r="M83" s="5" t="str">
        <f>_xlfn.XLOOKUP(TRIM(C83),MAPPING!A:A,MAPPING!B:B,"CHECK")</f>
        <v>Neral</v>
      </c>
      <c r="N83" s="5" t="str">
        <f>_xlfn.XLOOKUP(D83,MAPPING!G:G,MAPPING!H:H,"CHECK")</f>
        <v>Villa</v>
      </c>
      <c r="O83" s="5" t="str">
        <f>_xlfn.XLOOKUP(E83,MAPPING!J:J,MAPPING!K:K,"CHECK")</f>
        <v>3 BHK</v>
      </c>
      <c r="P83" s="5" t="str">
        <f>_xlfn.XLOOKUP(J83,MAPPING!M:M,MAPPING!N:N,"CHECK")</f>
        <v>Short Term Rental</v>
      </c>
      <c r="Q83" s="5">
        <f t="shared" si="8"/>
        <v>6700</v>
      </c>
      <c r="R83" s="5" t="str">
        <f t="shared" si="9"/>
        <v/>
      </c>
      <c r="S83" s="5" t="str">
        <f t="shared" si="10"/>
        <v/>
      </c>
      <c r="T83" s="5"/>
      <c r="U83" s="5"/>
      <c r="V83" s="5"/>
      <c r="W83" s="5">
        <f t="shared" si="11"/>
        <v>0</v>
      </c>
      <c r="X83" s="5" t="str" cm="1">
        <f t="array" ref="X83">IFERROR(MEDIAN(_xlfn._xlws.FILTER($S$2:$S$209,($M$2:$M$209=U83)*($N$2:$N$209=V83)*($P$2:$P$209="Resale")*($S$2:$S$209&lt;&gt;""))),"")</f>
        <v/>
      </c>
      <c r="Y83" s="5" t="str">
        <f t="shared" si="12"/>
        <v/>
      </c>
      <c r="Z83" s="5">
        <f t="shared" si="13"/>
        <v>0</v>
      </c>
      <c r="AA83" s="5" t="str" cm="1">
        <f t="array" ref="AA83">IF(Z83=0,"",MEDIAN(_xlfn._xlws.FILTER($Y$2:$Y$209,($M$2:$M$209=U83)*($N$2:$N$209=V83)*($P$2:$P$209="Long Term Rental")*($Y$2:$Y$209&lt;&gt;""),"")))</f>
        <v/>
      </c>
      <c r="AB83" s="5" t="str">
        <f t="shared" si="14"/>
        <v/>
      </c>
      <c r="AC83" s="5" t="str" cm="1">
        <f t="array" ref="AC83">IFERROR(MEDIAN(_xlfn._xlws.FILTER($Q$2:$Q$209,($M$2:$M$209=U83)*($P$2:$P$209="Short Term Rental")*($Q$2:$Q$209&lt;&gt;""))),"")</f>
        <v/>
      </c>
    </row>
    <row r="84" spans="1:29" ht="15" thickBot="1" x14ac:dyDescent="0.4">
      <c r="A84" s="1" t="s">
        <v>21</v>
      </c>
      <c r="B84" s="2" t="s">
        <v>22</v>
      </c>
      <c r="C84" s="1" t="s">
        <v>23</v>
      </c>
      <c r="D84" s="1" t="s">
        <v>24</v>
      </c>
      <c r="E84" s="1" t="s">
        <v>25</v>
      </c>
      <c r="F84" s="1"/>
      <c r="G84" s="1"/>
      <c r="H84" s="3">
        <v>4700</v>
      </c>
      <c r="I84" s="1" t="s">
        <v>17</v>
      </c>
      <c r="J84" s="1" t="s">
        <v>18</v>
      </c>
      <c r="K84" s="1" t="s">
        <v>19</v>
      </c>
      <c r="L84" s="1" t="s">
        <v>20</v>
      </c>
      <c r="M84" s="5" t="str">
        <f>_xlfn.XLOOKUP(TRIM(C84),MAPPING!A:A,MAPPING!B:B,"CHECK")</f>
        <v>Neral</v>
      </c>
      <c r="N84" s="5" t="str">
        <f>_xlfn.XLOOKUP(D84,MAPPING!G:G,MAPPING!H:H,"CHECK")</f>
        <v>Villa</v>
      </c>
      <c r="O84" s="5" t="str">
        <f>_xlfn.XLOOKUP(E84,MAPPING!J:J,MAPPING!K:K,"CHECK")</f>
        <v>3 BHK</v>
      </c>
      <c r="P84" s="5" t="str">
        <f>_xlfn.XLOOKUP(J84,MAPPING!M:M,MAPPING!N:N,"CHECK")</f>
        <v>Short Term Rental</v>
      </c>
      <c r="Q84" s="5">
        <f t="shared" si="8"/>
        <v>4700</v>
      </c>
      <c r="R84" s="5" t="str">
        <f t="shared" si="9"/>
        <v/>
      </c>
      <c r="S84" s="5" t="str">
        <f t="shared" si="10"/>
        <v/>
      </c>
      <c r="T84" s="5"/>
      <c r="U84" s="5"/>
      <c r="V84" s="5"/>
      <c r="W84" s="5">
        <f t="shared" si="11"/>
        <v>0</v>
      </c>
      <c r="X84" s="5" t="str" cm="1">
        <f t="array" ref="X84">IFERROR(MEDIAN(_xlfn._xlws.FILTER($S$2:$S$209,($M$2:$M$209=U84)*($N$2:$N$209=V84)*($P$2:$P$209="Resale")*($S$2:$S$209&lt;&gt;""))),"")</f>
        <v/>
      </c>
      <c r="Y84" s="5" t="str">
        <f t="shared" si="12"/>
        <v/>
      </c>
      <c r="Z84" s="5">
        <f t="shared" si="13"/>
        <v>0</v>
      </c>
      <c r="AA84" s="5" t="str" cm="1">
        <f t="array" ref="AA84">IF(Z84=0,"",MEDIAN(_xlfn._xlws.FILTER($Y$2:$Y$209,($M$2:$M$209=U84)*($N$2:$N$209=V84)*($P$2:$P$209="Long Term Rental")*($Y$2:$Y$209&lt;&gt;""),"")))</f>
        <v/>
      </c>
      <c r="AB84" s="5" t="str">
        <f t="shared" si="14"/>
        <v/>
      </c>
      <c r="AC84" s="5" t="str" cm="1">
        <f t="array" ref="AC84">IFERROR(MEDIAN(_xlfn._xlws.FILTER($Q$2:$Q$209,($M$2:$M$209=U84)*($P$2:$P$209="Short Term Rental")*($Q$2:$Q$209&lt;&gt;""))),"")</f>
        <v/>
      </c>
    </row>
    <row r="85" spans="1:29" ht="15" thickBot="1" x14ac:dyDescent="0.4">
      <c r="A85" s="1" t="s">
        <v>218</v>
      </c>
      <c r="B85" s="2" t="s">
        <v>219</v>
      </c>
      <c r="C85" s="1" t="s">
        <v>23</v>
      </c>
      <c r="D85" s="1" t="s">
        <v>47</v>
      </c>
      <c r="E85" s="1" t="s">
        <v>71</v>
      </c>
      <c r="F85" s="1"/>
      <c r="G85" s="1"/>
      <c r="H85" s="3">
        <v>5000</v>
      </c>
      <c r="I85" s="1" t="s">
        <v>17</v>
      </c>
      <c r="J85" s="1" t="s">
        <v>18</v>
      </c>
      <c r="K85" s="1" t="s">
        <v>19</v>
      </c>
      <c r="L85" s="1" t="s">
        <v>20</v>
      </c>
      <c r="M85" s="5" t="str">
        <f>_xlfn.XLOOKUP(TRIM(C85),MAPPING!A:A,MAPPING!B:B,"CHECK")</f>
        <v>Neral</v>
      </c>
      <c r="N85" s="5" t="str">
        <f>_xlfn.XLOOKUP(D85,MAPPING!G:G,MAPPING!H:H,"CHECK")</f>
        <v>Villa</v>
      </c>
      <c r="O85" s="5" t="str">
        <f>_xlfn.XLOOKUP(E85,MAPPING!J:J,MAPPING!K:K,"CHECK")</f>
        <v>2 BHK</v>
      </c>
      <c r="P85" s="5" t="str">
        <f>_xlfn.XLOOKUP(J85,MAPPING!M:M,MAPPING!N:N,"CHECK")</f>
        <v>Short Term Rental</v>
      </c>
      <c r="Q85" s="5">
        <f t="shared" si="8"/>
        <v>5000</v>
      </c>
      <c r="R85" s="5" t="str">
        <f t="shared" si="9"/>
        <v/>
      </c>
      <c r="S85" s="5" t="str">
        <f t="shared" si="10"/>
        <v/>
      </c>
      <c r="T85" s="5"/>
      <c r="U85" s="5"/>
      <c r="V85" s="5"/>
      <c r="W85" s="5">
        <f t="shared" si="11"/>
        <v>0</v>
      </c>
      <c r="X85" s="5" t="str" cm="1">
        <f t="array" ref="X85">IFERROR(MEDIAN(_xlfn._xlws.FILTER($S$2:$S$209,($M$2:$M$209=U85)*($N$2:$N$209=V85)*($P$2:$P$209="Resale")*($S$2:$S$209&lt;&gt;""))),"")</f>
        <v/>
      </c>
      <c r="Y85" s="5" t="str">
        <f t="shared" si="12"/>
        <v/>
      </c>
      <c r="Z85" s="5">
        <f t="shared" si="13"/>
        <v>0</v>
      </c>
      <c r="AA85" s="5" t="str" cm="1">
        <f t="array" ref="AA85">IF(Z85=0,"",MEDIAN(_xlfn._xlws.FILTER($Y$2:$Y$209,($M$2:$M$209=U85)*($N$2:$N$209=V85)*($P$2:$P$209="Long Term Rental")*($Y$2:$Y$209&lt;&gt;""),"")))</f>
        <v/>
      </c>
      <c r="AB85" s="5" t="str">
        <f t="shared" si="14"/>
        <v/>
      </c>
      <c r="AC85" s="5" t="str" cm="1">
        <f t="array" ref="AC85">IFERROR(MEDIAN(_xlfn._xlws.FILTER($Q$2:$Q$209,($M$2:$M$209=U85)*($P$2:$P$209="Short Term Rental")*($Q$2:$Q$209&lt;&gt;""))),"")</f>
        <v/>
      </c>
    </row>
    <row r="86" spans="1:29" ht="15" thickBot="1" x14ac:dyDescent="0.4">
      <c r="A86" s="1" t="s">
        <v>118</v>
      </c>
      <c r="B86" s="1" t="s">
        <v>119</v>
      </c>
      <c r="C86" s="1" t="s">
        <v>88</v>
      </c>
      <c r="D86" s="1" t="s">
        <v>24</v>
      </c>
      <c r="E86" s="1" t="s">
        <v>71</v>
      </c>
      <c r="F86" s="3">
        <v>1256</v>
      </c>
      <c r="G86" s="1" t="s">
        <v>30</v>
      </c>
      <c r="H86" s="3">
        <v>43.36</v>
      </c>
      <c r="I86" s="1" t="s">
        <v>36</v>
      </c>
      <c r="J86" s="1" t="s">
        <v>37</v>
      </c>
      <c r="K86" s="1" t="s">
        <v>19</v>
      </c>
      <c r="L86" s="1"/>
      <c r="M86" s="5" t="str">
        <f>_xlfn.XLOOKUP(TRIM(C86),MAPPING!A:A,MAPPING!B:B,"CHECK")</f>
        <v>Kashele</v>
      </c>
      <c r="N86" s="5" t="str">
        <f>_xlfn.XLOOKUP(D86,MAPPING!G:G,MAPPING!H:H,"CHECK")</f>
        <v>Villa</v>
      </c>
      <c r="O86" s="5" t="str">
        <f>_xlfn.XLOOKUP(E86,MAPPING!J:J,MAPPING!K:K,"CHECK")</f>
        <v>2 BHK</v>
      </c>
      <c r="P86" s="5" t="str">
        <f>_xlfn.XLOOKUP(J86,MAPPING!M:M,MAPPING!N:N,"CHECK")</f>
        <v>Resale</v>
      </c>
      <c r="Q86" s="5">
        <f t="shared" si="8"/>
        <v>4336000</v>
      </c>
      <c r="R86" s="5">
        <f t="shared" si="9"/>
        <v>1256</v>
      </c>
      <c r="S86" s="5">
        <f t="shared" si="10"/>
        <v>3452.2292993630572</v>
      </c>
      <c r="T86" s="5"/>
      <c r="U86" s="5"/>
      <c r="V86" s="5"/>
      <c r="W86" s="5">
        <f t="shared" si="11"/>
        <v>0</v>
      </c>
      <c r="X86" s="5" t="str" cm="1">
        <f t="array" ref="X86">IFERROR(MEDIAN(_xlfn._xlws.FILTER($S$2:$S$209,($M$2:$M$209=U86)*($N$2:$N$209=V86)*($P$2:$P$209="Resale")*($S$2:$S$209&lt;&gt;""))),"")</f>
        <v/>
      </c>
      <c r="Y86" s="5" t="str">
        <f t="shared" si="12"/>
        <v/>
      </c>
      <c r="Z86" s="5">
        <f t="shared" si="13"/>
        <v>0</v>
      </c>
      <c r="AA86" s="5" t="str" cm="1">
        <f t="array" ref="AA86">IF(Z86=0,"",MEDIAN(_xlfn._xlws.FILTER($Y$2:$Y$209,($M$2:$M$209=U86)*($N$2:$N$209=V86)*($P$2:$P$209="Long Term Rental")*($Y$2:$Y$209&lt;&gt;""),"")))</f>
        <v/>
      </c>
      <c r="AB86" s="5" t="str">
        <f t="shared" si="14"/>
        <v/>
      </c>
      <c r="AC86" s="5" t="str" cm="1">
        <f t="array" ref="AC86">IFERROR(MEDIAN(_xlfn._xlws.FILTER($Q$2:$Q$209,($M$2:$M$209=U86)*($P$2:$P$209="Short Term Rental")*($Q$2:$Q$209&lt;&gt;""))),"")</f>
        <v/>
      </c>
    </row>
    <row r="87" spans="1:29" ht="15" thickBot="1" x14ac:dyDescent="0.4">
      <c r="A87" s="1" t="s">
        <v>208</v>
      </c>
      <c r="B87" s="1" t="s">
        <v>209</v>
      </c>
      <c r="C87" s="1" t="s">
        <v>152</v>
      </c>
      <c r="D87" s="1" t="s">
        <v>155</v>
      </c>
      <c r="E87" s="1" t="s">
        <v>42</v>
      </c>
      <c r="F87" s="3">
        <v>2952</v>
      </c>
      <c r="G87" s="1" t="s">
        <v>30</v>
      </c>
      <c r="H87" s="1"/>
      <c r="I87" s="1" t="s">
        <v>36</v>
      </c>
      <c r="J87" s="1" t="s">
        <v>37</v>
      </c>
      <c r="K87" s="1" t="s">
        <v>53</v>
      </c>
      <c r="L87" s="1"/>
      <c r="M87" s="5" t="str">
        <f>_xlfn.XLOOKUP(TRIM(C87),MAPPING!A:A,MAPPING!B:B,"CHECK")</f>
        <v>Kashele</v>
      </c>
      <c r="N87" s="5" t="str">
        <f>_xlfn.XLOOKUP(D87,MAPPING!G:G,MAPPING!H:H,"CHECK")</f>
        <v>Farmland</v>
      </c>
      <c r="O87" s="5" t="str">
        <f>_xlfn.XLOOKUP(E87,MAPPING!J:J,MAPPING!K:K,"CHECK")</f>
        <v>NA</v>
      </c>
      <c r="P87" s="5" t="str">
        <f>_xlfn.XLOOKUP(J87,MAPPING!M:M,MAPPING!N:N,"CHECK")</f>
        <v>Resale</v>
      </c>
      <c r="Q87" s="5">
        <f t="shared" si="8"/>
        <v>0</v>
      </c>
      <c r="R87" s="5">
        <f t="shared" si="9"/>
        <v>2952</v>
      </c>
      <c r="S87" s="5">
        <f t="shared" si="10"/>
        <v>0</v>
      </c>
      <c r="T87" s="5"/>
      <c r="U87" s="5"/>
      <c r="V87" s="5"/>
      <c r="W87" s="5">
        <f t="shared" si="11"/>
        <v>0</v>
      </c>
      <c r="X87" s="5" t="str" cm="1">
        <f t="array" ref="X87">IFERROR(MEDIAN(_xlfn._xlws.FILTER($S$2:$S$209,($M$2:$M$209=U87)*($N$2:$N$209=V87)*($P$2:$P$209="Resale")*($S$2:$S$209&lt;&gt;""))),"")</f>
        <v/>
      </c>
      <c r="Y87" s="5" t="str">
        <f t="shared" si="12"/>
        <v/>
      </c>
      <c r="Z87" s="5">
        <f t="shared" si="13"/>
        <v>0</v>
      </c>
      <c r="AA87" s="5" t="str" cm="1">
        <f t="array" ref="AA87">IF(Z87=0,"",MEDIAN(_xlfn._xlws.FILTER($Y$2:$Y$209,($M$2:$M$209=U87)*($N$2:$N$209=V87)*($P$2:$P$209="Long Term Rental")*($Y$2:$Y$209&lt;&gt;""),"")))</f>
        <v/>
      </c>
      <c r="AB87" s="5" t="str">
        <f t="shared" si="14"/>
        <v/>
      </c>
      <c r="AC87" s="5" t="str" cm="1">
        <f t="array" ref="AC87">IFERROR(MEDIAN(_xlfn._xlws.FILTER($Q$2:$Q$209,($M$2:$M$209=U87)*($P$2:$P$209="Short Term Rental")*($Q$2:$Q$209&lt;&gt;""))),"")</f>
        <v/>
      </c>
    </row>
    <row r="88" spans="1:29" ht="15" thickBot="1" x14ac:dyDescent="0.4">
      <c r="A88" s="1" t="s">
        <v>31</v>
      </c>
      <c r="B88" s="1" t="s">
        <v>32</v>
      </c>
      <c r="C88" s="1" t="s">
        <v>33</v>
      </c>
      <c r="D88" s="1" t="s">
        <v>34</v>
      </c>
      <c r="E88" s="1" t="s">
        <v>35</v>
      </c>
      <c r="F88" s="1"/>
      <c r="G88" s="1" t="s">
        <v>30</v>
      </c>
      <c r="H88" s="3">
        <v>81.02</v>
      </c>
      <c r="I88" s="1" t="s">
        <v>36</v>
      </c>
      <c r="J88" s="1" t="s">
        <v>37</v>
      </c>
      <c r="K88" s="1" t="s">
        <v>19</v>
      </c>
      <c r="L88" s="1"/>
      <c r="M88" s="5" t="str">
        <f>_xlfn.XLOOKUP(TRIM(C88),MAPPING!A:A,MAPPING!B:B,"CHECK")</f>
        <v>Kashele</v>
      </c>
      <c r="N88" s="5" t="str">
        <f>_xlfn.XLOOKUP(D88,MAPPING!G:G,MAPPING!H:H,"CHECK")</f>
        <v>Villa</v>
      </c>
      <c r="O88" s="5" t="str">
        <f>_xlfn.XLOOKUP(E88,MAPPING!J:J,MAPPING!K:K,"CHECK")</f>
        <v>3 BHK</v>
      </c>
      <c r="P88" s="5" t="str">
        <f>_xlfn.XLOOKUP(J88,MAPPING!M:M,MAPPING!N:N,"CHECK")</f>
        <v>Resale</v>
      </c>
      <c r="Q88" s="5">
        <f t="shared" si="8"/>
        <v>8102000</v>
      </c>
      <c r="R88" s="5">
        <f t="shared" si="9"/>
        <v>0</v>
      </c>
      <c r="S88" s="5" t="str">
        <f t="shared" si="10"/>
        <v/>
      </c>
      <c r="T88" s="5"/>
      <c r="U88" s="5"/>
      <c r="V88" s="5"/>
      <c r="W88" s="5">
        <f t="shared" si="11"/>
        <v>0</v>
      </c>
      <c r="X88" s="5" t="str" cm="1">
        <f t="array" ref="X88">IFERROR(MEDIAN(_xlfn._xlws.FILTER($S$2:$S$209,($M$2:$M$209=U88)*($N$2:$N$209=V88)*($P$2:$P$209="Resale")*($S$2:$S$209&lt;&gt;""))),"")</f>
        <v/>
      </c>
      <c r="Y88" s="5" t="str">
        <f t="shared" si="12"/>
        <v/>
      </c>
      <c r="Z88" s="5">
        <f t="shared" si="13"/>
        <v>0</v>
      </c>
      <c r="AA88" s="5" t="str" cm="1">
        <f t="array" ref="AA88">IF(Z88=0,"",MEDIAN(_xlfn._xlws.FILTER($Y$2:$Y$209,($M$2:$M$209=U88)*($N$2:$N$209=V88)*($P$2:$P$209="Long Term Rental")*($Y$2:$Y$209&lt;&gt;""),"")))</f>
        <v/>
      </c>
      <c r="AB88" s="5" t="str">
        <f t="shared" si="14"/>
        <v/>
      </c>
      <c r="AC88" s="5" t="str" cm="1">
        <f t="array" ref="AC88">IFERROR(MEDIAN(_xlfn._xlws.FILTER($Q$2:$Q$209,($M$2:$M$209=U88)*($P$2:$P$209="Short Term Rental")*($Q$2:$Q$209&lt;&gt;""))),"")</f>
        <v/>
      </c>
    </row>
    <row r="89" spans="1:29" ht="15" thickBot="1" x14ac:dyDescent="0.4">
      <c r="A89" s="1" t="s">
        <v>150</v>
      </c>
      <c r="B89" s="2" t="s">
        <v>151</v>
      </c>
      <c r="C89" s="1" t="s">
        <v>152</v>
      </c>
      <c r="D89" s="2" t="s">
        <v>67</v>
      </c>
      <c r="E89" s="1" t="s">
        <v>16</v>
      </c>
      <c r="F89" s="3">
        <v>2660</v>
      </c>
      <c r="G89" s="1" t="s">
        <v>30</v>
      </c>
      <c r="H89" s="3">
        <v>87</v>
      </c>
      <c r="I89" s="1" t="s">
        <v>36</v>
      </c>
      <c r="J89" s="1" t="s">
        <v>37</v>
      </c>
      <c r="K89" s="1" t="s">
        <v>124</v>
      </c>
      <c r="L89" s="1"/>
      <c r="M89" s="5" t="str">
        <f>_xlfn.XLOOKUP(TRIM(C89),MAPPING!A:A,MAPPING!B:B,"CHECK")</f>
        <v>Kashele</v>
      </c>
      <c r="N89" s="5" t="str">
        <f>_xlfn.XLOOKUP(D89,MAPPING!G:G,MAPPING!H:H,"CHECK")</f>
        <v>Villa</v>
      </c>
      <c r="O89" s="5" t="str">
        <f>_xlfn.XLOOKUP(E89,MAPPING!J:J,MAPPING!K:K,"CHECK")</f>
        <v>3 BHK</v>
      </c>
      <c r="P89" s="5" t="str">
        <f>_xlfn.XLOOKUP(J89,MAPPING!M:M,MAPPING!N:N,"CHECK")</f>
        <v>Resale</v>
      </c>
      <c r="Q89" s="5">
        <f t="shared" si="8"/>
        <v>8700000</v>
      </c>
      <c r="R89" s="5">
        <f t="shared" si="9"/>
        <v>2660</v>
      </c>
      <c r="S89" s="5">
        <f t="shared" si="10"/>
        <v>3270.6766917293235</v>
      </c>
      <c r="T89" s="5"/>
      <c r="U89" s="5"/>
      <c r="V89" s="5"/>
      <c r="W89" s="5">
        <f t="shared" si="11"/>
        <v>0</v>
      </c>
      <c r="X89" s="5" t="str" cm="1">
        <f t="array" ref="X89">IFERROR(MEDIAN(_xlfn._xlws.FILTER($S$2:$S$209,($M$2:$M$209=U89)*($N$2:$N$209=V89)*($P$2:$P$209="Resale")*($S$2:$S$209&lt;&gt;""))),"")</f>
        <v/>
      </c>
      <c r="Y89" s="5" t="str">
        <f t="shared" si="12"/>
        <v/>
      </c>
      <c r="Z89" s="5">
        <f t="shared" si="13"/>
        <v>0</v>
      </c>
      <c r="AA89" s="5" t="str" cm="1">
        <f t="array" ref="AA89">IF(Z89=0,"",MEDIAN(_xlfn._xlws.FILTER($Y$2:$Y$209,($M$2:$M$209=U89)*($N$2:$N$209=V89)*($P$2:$P$209="Long Term Rental")*($Y$2:$Y$209&lt;&gt;""),"")))</f>
        <v/>
      </c>
      <c r="AB89" s="5" t="str">
        <f t="shared" si="14"/>
        <v/>
      </c>
      <c r="AC89" s="5" t="str" cm="1">
        <f t="array" ref="AC89">IFERROR(MEDIAN(_xlfn._xlws.FILTER($Q$2:$Q$209,($M$2:$M$209=U89)*($P$2:$P$209="Short Term Rental")*($Q$2:$Q$209&lt;&gt;""))),"")</f>
        <v/>
      </c>
    </row>
    <row r="90" spans="1:29" ht="15" thickBot="1" x14ac:dyDescent="0.4">
      <c r="A90" s="1" t="s">
        <v>446</v>
      </c>
      <c r="B90" s="1" t="s">
        <v>447</v>
      </c>
      <c r="C90" s="1" t="s">
        <v>51</v>
      </c>
      <c r="D90" s="1" t="s">
        <v>15</v>
      </c>
      <c r="E90" s="1" t="s">
        <v>25</v>
      </c>
      <c r="F90" s="3">
        <v>2558</v>
      </c>
      <c r="G90" s="1" t="s">
        <v>30</v>
      </c>
      <c r="H90" s="3">
        <v>92.34</v>
      </c>
      <c r="I90" s="1" t="s">
        <v>36</v>
      </c>
      <c r="J90" s="1" t="s">
        <v>37</v>
      </c>
      <c r="K90" s="1" t="s">
        <v>124</v>
      </c>
      <c r="L90" s="1"/>
      <c r="M90" s="5" t="str">
        <f>_xlfn.XLOOKUP(TRIM(C90),MAPPING!A:A,MAPPING!B:B,"CHECK")</f>
        <v>Kashele</v>
      </c>
      <c r="N90" s="5" t="str">
        <f>_xlfn.XLOOKUP(D90,MAPPING!G:G,MAPPING!H:H,"CHECK")</f>
        <v>Villa</v>
      </c>
      <c r="O90" s="5" t="str">
        <f>_xlfn.XLOOKUP(E90,MAPPING!J:J,MAPPING!K:K,"CHECK")</f>
        <v>3 BHK</v>
      </c>
      <c r="P90" s="5" t="str">
        <f>_xlfn.XLOOKUP(J90,MAPPING!M:M,MAPPING!N:N,"CHECK")</f>
        <v>Resale</v>
      </c>
      <c r="Q90" s="5">
        <f t="shared" si="8"/>
        <v>9234000</v>
      </c>
      <c r="R90" s="5">
        <f t="shared" si="9"/>
        <v>2558</v>
      </c>
      <c r="S90" s="5">
        <f t="shared" si="10"/>
        <v>3609.8514464425334</v>
      </c>
      <c r="T90" s="5"/>
      <c r="U90" s="5"/>
      <c r="V90" s="5"/>
      <c r="W90" s="5">
        <f t="shared" si="11"/>
        <v>0</v>
      </c>
      <c r="X90" s="5" t="str" cm="1">
        <f t="array" ref="X90">IFERROR(MEDIAN(_xlfn._xlws.FILTER($S$2:$S$209,($M$2:$M$209=U90)*($N$2:$N$209=V90)*($P$2:$P$209="Resale")*($S$2:$S$209&lt;&gt;""))),"")</f>
        <v/>
      </c>
      <c r="Y90" s="5" t="str">
        <f t="shared" si="12"/>
        <v/>
      </c>
      <c r="Z90" s="5">
        <f t="shared" si="13"/>
        <v>0</v>
      </c>
      <c r="AA90" s="5" t="str" cm="1">
        <f t="array" ref="AA90">IF(Z90=0,"",MEDIAN(_xlfn._xlws.FILTER($Y$2:$Y$209,($M$2:$M$209=U90)*($N$2:$N$209=V90)*($P$2:$P$209="Long Term Rental")*($Y$2:$Y$209&lt;&gt;""),"")))</f>
        <v/>
      </c>
      <c r="AB90" s="5" t="str">
        <f t="shared" si="14"/>
        <v/>
      </c>
      <c r="AC90" s="5" t="str" cm="1">
        <f t="array" ref="AC90">IFERROR(MEDIAN(_xlfn._xlws.FILTER($Q$2:$Q$209,($M$2:$M$209=U90)*($P$2:$P$209="Short Term Rental")*($Q$2:$Q$209&lt;&gt;""))),"")</f>
        <v/>
      </c>
    </row>
    <row r="91" spans="1:29" ht="15" thickBot="1" x14ac:dyDescent="0.4">
      <c r="A91" s="1" t="s">
        <v>346</v>
      </c>
      <c r="B91" s="1" t="s">
        <v>347</v>
      </c>
      <c r="C91" s="1" t="s">
        <v>33</v>
      </c>
      <c r="D91" s="2" t="s">
        <v>67</v>
      </c>
      <c r="E91" s="1" t="s">
        <v>25</v>
      </c>
      <c r="F91" s="3">
        <v>2373</v>
      </c>
      <c r="G91" s="1" t="s">
        <v>30</v>
      </c>
      <c r="H91" s="3">
        <v>96.35</v>
      </c>
      <c r="I91" s="1" t="s">
        <v>36</v>
      </c>
      <c r="J91" s="1" t="s">
        <v>37</v>
      </c>
      <c r="K91" s="1" t="s">
        <v>19</v>
      </c>
      <c r="L91" s="1"/>
      <c r="M91" s="5" t="str">
        <f>_xlfn.XLOOKUP(TRIM(C91),MAPPING!A:A,MAPPING!B:B,"CHECK")</f>
        <v>Kashele</v>
      </c>
      <c r="N91" s="5" t="str">
        <f>_xlfn.XLOOKUP(D91,MAPPING!G:G,MAPPING!H:H,"CHECK")</f>
        <v>Villa</v>
      </c>
      <c r="O91" s="5" t="str">
        <f>_xlfn.XLOOKUP(E91,MAPPING!J:J,MAPPING!K:K,"CHECK")</f>
        <v>3 BHK</v>
      </c>
      <c r="P91" s="5" t="str">
        <f>_xlfn.XLOOKUP(J91,MAPPING!M:M,MAPPING!N:N,"CHECK")</f>
        <v>Resale</v>
      </c>
      <c r="Q91" s="5">
        <f t="shared" si="8"/>
        <v>9635000</v>
      </c>
      <c r="R91" s="5">
        <f t="shared" si="9"/>
        <v>2373</v>
      </c>
      <c r="S91" s="5">
        <f t="shared" si="10"/>
        <v>4060.2612726506532</v>
      </c>
      <c r="T91" s="5"/>
      <c r="U91" s="5"/>
      <c r="V91" s="5"/>
      <c r="W91" s="5">
        <f t="shared" si="11"/>
        <v>0</v>
      </c>
      <c r="X91" s="5" t="str" cm="1">
        <f t="array" ref="X91">IFERROR(MEDIAN(_xlfn._xlws.FILTER($S$2:$S$209,($M$2:$M$209=U91)*($N$2:$N$209=V91)*($P$2:$P$209="Resale")*($S$2:$S$209&lt;&gt;""))),"")</f>
        <v/>
      </c>
      <c r="Y91" s="5" t="str">
        <f t="shared" si="12"/>
        <v/>
      </c>
      <c r="Z91" s="5">
        <f t="shared" si="13"/>
        <v>0</v>
      </c>
      <c r="AA91" s="5" t="str" cm="1">
        <f t="array" ref="AA91">IF(Z91=0,"",MEDIAN(_xlfn._xlws.FILTER($Y$2:$Y$209,($M$2:$M$209=U91)*($N$2:$N$209=V91)*($P$2:$P$209="Long Term Rental")*($Y$2:$Y$209&lt;&gt;""),"")))</f>
        <v/>
      </c>
      <c r="AB91" s="5" t="str">
        <f t="shared" si="14"/>
        <v/>
      </c>
      <c r="AC91" s="5" t="str" cm="1">
        <f t="array" ref="AC91">IFERROR(MEDIAN(_xlfn._xlws.FILTER($Q$2:$Q$209,($M$2:$M$209=U91)*($P$2:$P$209="Short Term Rental")*($Q$2:$Q$209&lt;&gt;""))),"")</f>
        <v/>
      </c>
    </row>
    <row r="92" spans="1:29" ht="15" thickBot="1" x14ac:dyDescent="0.4">
      <c r="A92" s="1" t="s">
        <v>313</v>
      </c>
      <c r="B92" s="1" t="s">
        <v>314</v>
      </c>
      <c r="C92" s="1" t="s">
        <v>152</v>
      </c>
      <c r="D92" s="1" t="s">
        <v>63</v>
      </c>
      <c r="E92" s="1" t="s">
        <v>42</v>
      </c>
      <c r="F92" s="3">
        <v>4253</v>
      </c>
      <c r="G92" s="1" t="s">
        <v>30</v>
      </c>
      <c r="H92" s="3">
        <v>34.89</v>
      </c>
      <c r="I92" s="1" t="s">
        <v>36</v>
      </c>
      <c r="J92" s="1" t="s">
        <v>37</v>
      </c>
      <c r="K92" s="1" t="s">
        <v>19</v>
      </c>
      <c r="L92" s="1"/>
      <c r="M92" s="5" t="str">
        <f>_xlfn.XLOOKUP(TRIM(C92),MAPPING!A:A,MAPPING!B:B,"CHECK")</f>
        <v>Kashele</v>
      </c>
      <c r="N92" s="5" t="str">
        <f>_xlfn.XLOOKUP(D92,MAPPING!G:G,MAPPING!H:H,"CHECK")</f>
        <v>Plot</v>
      </c>
      <c r="O92" s="5" t="str">
        <f>_xlfn.XLOOKUP(E92,MAPPING!J:J,MAPPING!K:K,"CHECK")</f>
        <v>NA</v>
      </c>
      <c r="P92" s="5" t="str">
        <f>_xlfn.XLOOKUP(J92,MAPPING!M:M,MAPPING!N:N,"CHECK")</f>
        <v>Resale</v>
      </c>
      <c r="Q92" s="5">
        <f t="shared" si="8"/>
        <v>3489000</v>
      </c>
      <c r="R92" s="5">
        <f t="shared" si="9"/>
        <v>4253</v>
      </c>
      <c r="S92" s="5">
        <f t="shared" si="10"/>
        <v>820.36209734305191</v>
      </c>
      <c r="T92" s="5"/>
      <c r="U92" s="5"/>
      <c r="V92" s="5"/>
      <c r="W92" s="5">
        <f t="shared" si="11"/>
        <v>0</v>
      </c>
      <c r="X92" s="5" t="str" cm="1">
        <f t="array" ref="X92">IFERROR(MEDIAN(_xlfn._xlws.FILTER($S$2:$S$209,($M$2:$M$209=U92)*($N$2:$N$209=V92)*($P$2:$P$209="Resale")*($S$2:$S$209&lt;&gt;""))),"")</f>
        <v/>
      </c>
      <c r="Y92" s="5" t="str">
        <f t="shared" si="12"/>
        <v/>
      </c>
      <c r="Z92" s="5">
        <f t="shared" si="13"/>
        <v>0</v>
      </c>
      <c r="AA92" s="5" t="str" cm="1">
        <f t="array" ref="AA92">IF(Z92=0,"",MEDIAN(_xlfn._xlws.FILTER($Y$2:$Y$209,($M$2:$M$209=U92)*($N$2:$N$209=V92)*($P$2:$P$209="Long Term Rental")*($Y$2:$Y$209&lt;&gt;""),"")))</f>
        <v/>
      </c>
      <c r="AB92" s="5" t="str">
        <f t="shared" si="14"/>
        <v/>
      </c>
      <c r="AC92" s="5" t="str" cm="1">
        <f t="array" ref="AC92">IFERROR(MEDIAN(_xlfn._xlws.FILTER($Q$2:$Q$209,($M$2:$M$209=U92)*($P$2:$P$209="Short Term Rental")*($Q$2:$Q$209&lt;&gt;""))),"")</f>
        <v/>
      </c>
    </row>
    <row r="93" spans="1:29" ht="15" thickBot="1" x14ac:dyDescent="0.4">
      <c r="A93" s="1" t="s">
        <v>263</v>
      </c>
      <c r="B93" s="1" t="s">
        <v>84</v>
      </c>
      <c r="C93" s="1" t="s">
        <v>51</v>
      </c>
      <c r="D93" s="1" t="s">
        <v>63</v>
      </c>
      <c r="E93" s="1" t="s">
        <v>42</v>
      </c>
      <c r="F93" s="3">
        <v>1.56</v>
      </c>
      <c r="G93" s="1" t="s">
        <v>85</v>
      </c>
      <c r="H93" s="3">
        <v>4.9000000000000004</v>
      </c>
      <c r="I93" s="1" t="s">
        <v>64</v>
      </c>
      <c r="J93" s="1" t="s">
        <v>37</v>
      </c>
      <c r="K93" s="1" t="s">
        <v>53</v>
      </c>
      <c r="L93" s="1"/>
      <c r="M93" s="5" t="str">
        <f>_xlfn.XLOOKUP(TRIM(C93),MAPPING!A:A,MAPPING!B:B,"CHECK")</f>
        <v>Kashele</v>
      </c>
      <c r="N93" s="5" t="str">
        <f>_xlfn.XLOOKUP(D93,MAPPING!G:G,MAPPING!H:H,"CHECK")</f>
        <v>Plot</v>
      </c>
      <c r="O93" s="5" t="str">
        <f>_xlfn.XLOOKUP(E93,MAPPING!J:J,MAPPING!K:K,"CHECK")</f>
        <v>NA</v>
      </c>
      <c r="P93" s="5" t="str">
        <f>_xlfn.XLOOKUP(J93,MAPPING!M:M,MAPPING!N:N,"CHECK")</f>
        <v>Resale</v>
      </c>
      <c r="Q93" s="5">
        <f t="shared" si="8"/>
        <v>49000000</v>
      </c>
      <c r="R93" s="5">
        <f t="shared" si="9"/>
        <v>67953.600000000006</v>
      </c>
      <c r="S93" s="5">
        <f t="shared" si="10"/>
        <v>721.08026653481193</v>
      </c>
      <c r="T93" s="5"/>
      <c r="U93" s="5"/>
      <c r="V93" s="5"/>
      <c r="W93" s="5">
        <f t="shared" si="11"/>
        <v>0</v>
      </c>
      <c r="X93" s="5" t="str" cm="1">
        <f t="array" ref="X93">IFERROR(MEDIAN(_xlfn._xlws.FILTER($S$2:$S$209,($M$2:$M$209=U93)*($N$2:$N$209=V93)*($P$2:$P$209="Resale")*($S$2:$S$209&lt;&gt;""))),"")</f>
        <v/>
      </c>
      <c r="Y93" s="5" t="str">
        <f t="shared" si="12"/>
        <v/>
      </c>
      <c r="Z93" s="5">
        <f t="shared" si="13"/>
        <v>0</v>
      </c>
      <c r="AA93" s="5" t="str" cm="1">
        <f t="array" ref="AA93">IF(Z93=0,"",MEDIAN(_xlfn._xlws.FILTER($Y$2:$Y$209,($M$2:$M$209=U93)*($N$2:$N$209=V93)*($P$2:$P$209="Long Term Rental")*($Y$2:$Y$209&lt;&gt;""),"")))</f>
        <v/>
      </c>
      <c r="AB93" s="5" t="str">
        <f t="shared" si="14"/>
        <v/>
      </c>
      <c r="AC93" s="5" t="str" cm="1">
        <f t="array" ref="AC93">IFERROR(MEDIAN(_xlfn._xlws.FILTER($Q$2:$Q$209,($M$2:$M$209=U93)*($P$2:$P$209="Short Term Rental")*($Q$2:$Q$209&lt;&gt;""))),"")</f>
        <v/>
      </c>
    </row>
    <row r="94" spans="1:29" ht="15" thickBot="1" x14ac:dyDescent="0.4">
      <c r="A94" s="1" t="s">
        <v>434</v>
      </c>
      <c r="B94" s="1" t="s">
        <v>435</v>
      </c>
      <c r="C94" s="1" t="s">
        <v>88</v>
      </c>
      <c r="D94" s="1" t="s">
        <v>47</v>
      </c>
      <c r="E94" s="1" t="s">
        <v>48</v>
      </c>
      <c r="F94" s="3">
        <v>1726</v>
      </c>
      <c r="G94" s="1" t="s">
        <v>30</v>
      </c>
      <c r="H94" s="1"/>
      <c r="I94" s="1" t="s">
        <v>36</v>
      </c>
      <c r="J94" s="1" t="s">
        <v>37</v>
      </c>
      <c r="K94" s="1" t="s">
        <v>53</v>
      </c>
      <c r="L94" s="1"/>
      <c r="M94" s="5" t="str">
        <f>_xlfn.XLOOKUP(TRIM(C94),MAPPING!A:A,MAPPING!B:B,"CHECK")</f>
        <v>Kashele</v>
      </c>
      <c r="N94" s="5" t="str">
        <f>_xlfn.XLOOKUP(D94,MAPPING!G:G,MAPPING!H:H,"CHECK")</f>
        <v>Villa</v>
      </c>
      <c r="O94" s="5" t="str">
        <f>_xlfn.XLOOKUP(E94,MAPPING!J:J,MAPPING!K:K,"CHECK")</f>
        <v>2 BHK</v>
      </c>
      <c r="P94" s="5" t="str">
        <f>_xlfn.XLOOKUP(J94,MAPPING!M:M,MAPPING!N:N,"CHECK")</f>
        <v>Resale</v>
      </c>
      <c r="Q94" s="5">
        <f t="shared" si="8"/>
        <v>0</v>
      </c>
      <c r="R94" s="5">
        <f t="shared" si="9"/>
        <v>1726</v>
      </c>
      <c r="S94" s="5">
        <f t="shared" si="10"/>
        <v>0</v>
      </c>
      <c r="T94" s="5"/>
      <c r="U94" s="5"/>
      <c r="V94" s="5"/>
      <c r="W94" s="5">
        <f t="shared" si="11"/>
        <v>0</v>
      </c>
      <c r="X94" s="5" t="str" cm="1">
        <f t="array" ref="X94">IFERROR(MEDIAN(_xlfn._xlws.FILTER($S$2:$S$209,($M$2:$M$209=U94)*($N$2:$N$209=V94)*($P$2:$P$209="Resale")*($S$2:$S$209&lt;&gt;""))),"")</f>
        <v/>
      </c>
      <c r="Y94" s="5" t="str">
        <f t="shared" si="12"/>
        <v/>
      </c>
      <c r="Z94" s="5">
        <f t="shared" si="13"/>
        <v>0</v>
      </c>
      <c r="AA94" s="5" t="str" cm="1">
        <f t="array" ref="AA94">IF(Z94=0,"",MEDIAN(_xlfn._xlws.FILTER($Y$2:$Y$209,($M$2:$M$209=U94)*($N$2:$N$209=V94)*($P$2:$P$209="Long Term Rental")*($Y$2:$Y$209&lt;&gt;""),"")))</f>
        <v/>
      </c>
      <c r="AB94" s="5" t="str">
        <f t="shared" si="14"/>
        <v/>
      </c>
      <c r="AC94" s="5" t="str" cm="1">
        <f t="array" ref="AC94">IFERROR(MEDIAN(_xlfn._xlws.FILTER($Q$2:$Q$209,($M$2:$M$209=U94)*($P$2:$P$209="Short Term Rental")*($Q$2:$Q$209&lt;&gt;""))),"")</f>
        <v/>
      </c>
    </row>
    <row r="95" spans="1:29" ht="15" thickBot="1" x14ac:dyDescent="0.4">
      <c r="A95" s="1" t="s">
        <v>352</v>
      </c>
      <c r="B95" s="2" t="s">
        <v>353</v>
      </c>
      <c r="C95" s="1" t="s">
        <v>152</v>
      </c>
      <c r="D95" s="2" t="s">
        <v>67</v>
      </c>
      <c r="E95" s="1" t="s">
        <v>71</v>
      </c>
      <c r="F95" s="3">
        <v>2342</v>
      </c>
      <c r="G95" s="1" t="s">
        <v>30</v>
      </c>
      <c r="H95" s="3">
        <v>94.58</v>
      </c>
      <c r="I95" s="1" t="s">
        <v>36</v>
      </c>
      <c r="J95" s="1" t="s">
        <v>37</v>
      </c>
      <c r="K95" s="1" t="s">
        <v>19</v>
      </c>
      <c r="L95" s="1"/>
      <c r="M95" s="5" t="str">
        <f>_xlfn.XLOOKUP(TRIM(C95),MAPPING!A:A,MAPPING!B:B,"CHECK")</f>
        <v>Kashele</v>
      </c>
      <c r="N95" s="5" t="str">
        <f>_xlfn.XLOOKUP(D95,MAPPING!G:G,MAPPING!H:H,"CHECK")</f>
        <v>Villa</v>
      </c>
      <c r="O95" s="5" t="str">
        <f>_xlfn.XLOOKUP(E95,MAPPING!J:J,MAPPING!K:K,"CHECK")</f>
        <v>2 BHK</v>
      </c>
      <c r="P95" s="5" t="str">
        <f>_xlfn.XLOOKUP(J95,MAPPING!M:M,MAPPING!N:N,"CHECK")</f>
        <v>Resale</v>
      </c>
      <c r="Q95" s="5">
        <f t="shared" si="8"/>
        <v>9458000</v>
      </c>
      <c r="R95" s="5">
        <f t="shared" si="9"/>
        <v>2342</v>
      </c>
      <c r="S95" s="5">
        <f t="shared" si="10"/>
        <v>4038.4286934244237</v>
      </c>
      <c r="T95" s="5"/>
      <c r="U95" s="5"/>
      <c r="V95" s="5"/>
      <c r="W95" s="5">
        <f t="shared" si="11"/>
        <v>0</v>
      </c>
      <c r="X95" s="5" t="str" cm="1">
        <f t="array" ref="X95">IFERROR(MEDIAN(_xlfn._xlws.FILTER($S$2:$S$209,($M$2:$M$209=U95)*($N$2:$N$209=V95)*($P$2:$P$209="Resale")*($S$2:$S$209&lt;&gt;""))),"")</f>
        <v/>
      </c>
      <c r="Y95" s="5" t="str">
        <f t="shared" si="12"/>
        <v/>
      </c>
      <c r="Z95" s="5">
        <f t="shared" si="13"/>
        <v>0</v>
      </c>
      <c r="AA95" s="5" t="str" cm="1">
        <f t="array" ref="AA95">IF(Z95=0,"",MEDIAN(_xlfn._xlws.FILTER($Y$2:$Y$209,($M$2:$M$209=U95)*($N$2:$N$209=V95)*($P$2:$P$209="Long Term Rental")*($Y$2:$Y$209&lt;&gt;""),"")))</f>
        <v/>
      </c>
      <c r="AB95" s="5" t="str">
        <f t="shared" si="14"/>
        <v/>
      </c>
      <c r="AC95" s="5" t="str" cm="1">
        <f t="array" ref="AC95">IFERROR(MEDIAN(_xlfn._xlws.FILTER($Q$2:$Q$209,($M$2:$M$209=U95)*($P$2:$P$209="Short Term Rental")*($Q$2:$Q$209&lt;&gt;""))),"")</f>
        <v/>
      </c>
    </row>
    <row r="96" spans="1:29" ht="15" thickBot="1" x14ac:dyDescent="0.4">
      <c r="A96" s="1" t="s">
        <v>383</v>
      </c>
      <c r="B96" s="1" t="s">
        <v>345</v>
      </c>
      <c r="C96" s="1" t="s">
        <v>33</v>
      </c>
      <c r="D96" s="1" t="s">
        <v>166</v>
      </c>
      <c r="E96" s="1" t="s">
        <v>42</v>
      </c>
      <c r="F96" s="3">
        <v>1.9</v>
      </c>
      <c r="G96" s="1" t="s">
        <v>85</v>
      </c>
      <c r="H96" s="3">
        <v>1.05</v>
      </c>
      <c r="I96" s="1" t="s">
        <v>64</v>
      </c>
      <c r="J96" s="1" t="s">
        <v>37</v>
      </c>
      <c r="K96" s="1" t="s">
        <v>124</v>
      </c>
      <c r="L96" s="1"/>
      <c r="M96" s="5" t="str">
        <f>_xlfn.XLOOKUP(TRIM(C96),MAPPING!A:A,MAPPING!B:B,"CHECK")</f>
        <v>Kashele</v>
      </c>
      <c r="N96" s="5" t="str">
        <f>_xlfn.XLOOKUP(D96,MAPPING!G:G,MAPPING!H:H,"CHECK")</f>
        <v>Farmland</v>
      </c>
      <c r="O96" s="5" t="str">
        <f>_xlfn.XLOOKUP(E96,MAPPING!J:J,MAPPING!K:K,"CHECK")</f>
        <v>NA</v>
      </c>
      <c r="P96" s="5" t="str">
        <f>_xlfn.XLOOKUP(J96,MAPPING!M:M,MAPPING!N:N,"CHECK")</f>
        <v>Resale</v>
      </c>
      <c r="Q96" s="5">
        <f t="shared" si="8"/>
        <v>10500000</v>
      </c>
      <c r="R96" s="5">
        <f t="shared" si="9"/>
        <v>82764</v>
      </c>
      <c r="S96" s="5">
        <f t="shared" si="10"/>
        <v>126.86675366101204</v>
      </c>
      <c r="T96" s="5"/>
      <c r="U96" s="5"/>
      <c r="V96" s="5"/>
      <c r="W96" s="5">
        <f t="shared" si="11"/>
        <v>0</v>
      </c>
      <c r="X96" s="5" t="str" cm="1">
        <f t="array" ref="X96">IFERROR(MEDIAN(_xlfn._xlws.FILTER($S$2:$S$209,($M$2:$M$209=U96)*($N$2:$N$209=V96)*($P$2:$P$209="Resale")*($S$2:$S$209&lt;&gt;""))),"")</f>
        <v/>
      </c>
      <c r="Y96" s="5" t="str">
        <f t="shared" si="12"/>
        <v/>
      </c>
      <c r="Z96" s="5">
        <f t="shared" si="13"/>
        <v>0</v>
      </c>
      <c r="AA96" s="5" t="str" cm="1">
        <f t="array" ref="AA96">IF(Z96=0,"",MEDIAN(_xlfn._xlws.FILTER($Y$2:$Y$209,($M$2:$M$209=U96)*($N$2:$N$209=V96)*($P$2:$P$209="Long Term Rental")*($Y$2:$Y$209&lt;&gt;""),"")))</f>
        <v/>
      </c>
      <c r="AB96" s="5" t="str">
        <f t="shared" si="14"/>
        <v/>
      </c>
      <c r="AC96" s="5" t="str" cm="1">
        <f t="array" ref="AC96">IFERROR(MEDIAN(_xlfn._xlws.FILTER($Q$2:$Q$209,($M$2:$M$209=U96)*($P$2:$P$209="Short Term Rental")*($Q$2:$Q$209&lt;&gt;""))),"")</f>
        <v/>
      </c>
    </row>
    <row r="97" spans="1:29" ht="15" thickBot="1" x14ac:dyDescent="0.4">
      <c r="A97" s="1" t="s">
        <v>246</v>
      </c>
      <c r="B97" s="1" t="s">
        <v>247</v>
      </c>
      <c r="C97" s="1" t="s">
        <v>33</v>
      </c>
      <c r="D97" s="1" t="s">
        <v>117</v>
      </c>
      <c r="E97" s="1" t="s">
        <v>42</v>
      </c>
      <c r="F97" s="3">
        <v>3.62</v>
      </c>
      <c r="G97" s="1" t="s">
        <v>85</v>
      </c>
      <c r="H97" s="3">
        <v>2.11</v>
      </c>
      <c r="I97" s="1" t="s">
        <v>64</v>
      </c>
      <c r="J97" s="1" t="s">
        <v>37</v>
      </c>
      <c r="K97" s="1" t="s">
        <v>19</v>
      </c>
      <c r="L97" s="1" t="s">
        <v>248</v>
      </c>
      <c r="M97" s="5" t="str">
        <f>_xlfn.XLOOKUP(TRIM(C97),MAPPING!A:A,MAPPING!B:B,"CHECK")</f>
        <v>Kashele</v>
      </c>
      <c r="N97" s="5" t="str">
        <f>_xlfn.XLOOKUP(D97,MAPPING!G:G,MAPPING!H:H,"CHECK")</f>
        <v>Farmland</v>
      </c>
      <c r="O97" s="5" t="str">
        <f>_xlfn.XLOOKUP(E97,MAPPING!J:J,MAPPING!K:K,"CHECK")</f>
        <v>NA</v>
      </c>
      <c r="P97" s="5" t="str">
        <f>_xlfn.XLOOKUP(J97,MAPPING!M:M,MAPPING!N:N,"CHECK")</f>
        <v>Resale</v>
      </c>
      <c r="Q97" s="5">
        <f t="shared" si="8"/>
        <v>21100000</v>
      </c>
      <c r="R97" s="5">
        <f t="shared" si="9"/>
        <v>157687.20000000001</v>
      </c>
      <c r="S97" s="5">
        <f t="shared" si="10"/>
        <v>133.8092121617988</v>
      </c>
      <c r="T97" s="5"/>
      <c r="U97" s="5"/>
      <c r="V97" s="5"/>
      <c r="W97" s="5">
        <f t="shared" si="11"/>
        <v>0</v>
      </c>
      <c r="X97" s="5" t="str" cm="1">
        <f t="array" ref="X97">IFERROR(MEDIAN(_xlfn._xlws.FILTER($S$2:$S$209,($M$2:$M$209=U97)*($N$2:$N$209=V97)*($P$2:$P$209="Resale")*($S$2:$S$209&lt;&gt;""))),"")</f>
        <v/>
      </c>
      <c r="Y97" s="5" t="str">
        <f t="shared" si="12"/>
        <v/>
      </c>
      <c r="Z97" s="5">
        <f t="shared" si="13"/>
        <v>0</v>
      </c>
      <c r="AA97" s="5" t="str" cm="1">
        <f t="array" ref="AA97">IF(Z97=0,"",MEDIAN(_xlfn._xlws.FILTER($Y$2:$Y$209,($M$2:$M$209=U97)*($N$2:$N$209=V97)*($P$2:$P$209="Long Term Rental")*($Y$2:$Y$209&lt;&gt;""),"")))</f>
        <v/>
      </c>
      <c r="AB97" s="5" t="str">
        <f t="shared" si="14"/>
        <v/>
      </c>
      <c r="AC97" s="5" t="str" cm="1">
        <f t="array" ref="AC97">IFERROR(MEDIAN(_xlfn._xlws.FILTER($Q$2:$Q$209,($M$2:$M$209=U97)*($P$2:$P$209="Short Term Rental")*($Q$2:$Q$209&lt;&gt;""))),"")</f>
        <v/>
      </c>
    </row>
    <row r="98" spans="1:29" ht="15" thickBot="1" x14ac:dyDescent="0.4">
      <c r="A98" s="1" t="s">
        <v>232</v>
      </c>
      <c r="B98" s="1" t="s">
        <v>84</v>
      </c>
      <c r="C98" s="1" t="s">
        <v>51</v>
      </c>
      <c r="D98" s="1" t="s">
        <v>63</v>
      </c>
      <c r="E98" s="1" t="s">
        <v>42</v>
      </c>
      <c r="F98" s="1"/>
      <c r="G98" s="1" t="s">
        <v>43</v>
      </c>
      <c r="H98" s="3">
        <v>75.48</v>
      </c>
      <c r="I98" s="1" t="s">
        <v>36</v>
      </c>
      <c r="J98" s="1" t="s">
        <v>37</v>
      </c>
      <c r="K98" s="1" t="s">
        <v>19</v>
      </c>
      <c r="L98" s="1"/>
      <c r="M98" s="5" t="str">
        <f>_xlfn.XLOOKUP(TRIM(C98),MAPPING!A:A,MAPPING!B:B,"CHECK")</f>
        <v>Kashele</v>
      </c>
      <c r="N98" s="5" t="str">
        <f>_xlfn.XLOOKUP(D98,MAPPING!G:G,MAPPING!H:H,"CHECK")</f>
        <v>Plot</v>
      </c>
      <c r="O98" s="5" t="str">
        <f>_xlfn.XLOOKUP(E98,MAPPING!J:J,MAPPING!K:K,"CHECK")</f>
        <v>NA</v>
      </c>
      <c r="P98" s="5" t="str">
        <f>_xlfn.XLOOKUP(J98,MAPPING!M:M,MAPPING!N:N,"CHECK")</f>
        <v>Resale</v>
      </c>
      <c r="Q98" s="5">
        <f t="shared" si="8"/>
        <v>7548000</v>
      </c>
      <c r="R98" s="5">
        <f t="shared" si="9"/>
        <v>0</v>
      </c>
      <c r="S98" s="5" t="str">
        <f t="shared" si="10"/>
        <v/>
      </c>
      <c r="T98" s="5"/>
      <c r="U98" s="5"/>
      <c r="V98" s="5"/>
      <c r="W98" s="5">
        <f t="shared" si="11"/>
        <v>0</v>
      </c>
      <c r="X98" s="5" t="str" cm="1">
        <f t="array" ref="X98">IFERROR(MEDIAN(_xlfn._xlws.FILTER($S$2:$S$209,($M$2:$M$209=U98)*($N$2:$N$209=V98)*($P$2:$P$209="Resale")*($S$2:$S$209&lt;&gt;""))),"")</f>
        <v/>
      </c>
      <c r="Y98" s="5" t="str">
        <f t="shared" si="12"/>
        <v/>
      </c>
      <c r="Z98" s="5">
        <f t="shared" si="13"/>
        <v>0</v>
      </c>
      <c r="AA98" s="5" t="str" cm="1">
        <f t="array" ref="AA98">IF(Z98=0,"",MEDIAN(_xlfn._xlws.FILTER($Y$2:$Y$209,($M$2:$M$209=U98)*($N$2:$N$209=V98)*($P$2:$P$209="Long Term Rental")*($Y$2:$Y$209&lt;&gt;""),"")))</f>
        <v/>
      </c>
      <c r="AB98" s="5" t="str">
        <f t="shared" si="14"/>
        <v/>
      </c>
      <c r="AC98" s="5" t="str" cm="1">
        <f t="array" ref="AC98">IFERROR(MEDIAN(_xlfn._xlws.FILTER($Q$2:$Q$209,($M$2:$M$209=U98)*($P$2:$P$209="Short Term Rental")*($Q$2:$Q$209&lt;&gt;""))),"")</f>
        <v/>
      </c>
    </row>
    <row r="99" spans="1:29" ht="15" thickBot="1" x14ac:dyDescent="0.4">
      <c r="A99" s="1" t="s">
        <v>148</v>
      </c>
      <c r="B99" s="1" t="s">
        <v>149</v>
      </c>
      <c r="C99" s="1" t="s">
        <v>459</v>
      </c>
      <c r="D99" s="1" t="s">
        <v>47</v>
      </c>
      <c r="E99" s="1" t="s">
        <v>29</v>
      </c>
      <c r="F99" s="3">
        <v>903</v>
      </c>
      <c r="G99" s="1" t="s">
        <v>30</v>
      </c>
      <c r="H99" s="3">
        <v>34.85</v>
      </c>
      <c r="I99" s="1" t="s">
        <v>36</v>
      </c>
      <c r="J99" s="1" t="s">
        <v>37</v>
      </c>
      <c r="K99" s="1" t="s">
        <v>19</v>
      </c>
      <c r="L99" s="1"/>
      <c r="M99" s="5" t="str">
        <f>_xlfn.XLOOKUP(TRIM(C99),MAPPING!A:A,MAPPING!B:B,"CHECK")</f>
        <v>Kashele</v>
      </c>
      <c r="N99" s="5" t="str">
        <f>_xlfn.XLOOKUP(D99,MAPPING!G:G,MAPPING!H:H,"CHECK")</f>
        <v>Villa</v>
      </c>
      <c r="O99" s="5" t="str">
        <f>_xlfn.XLOOKUP(E99,MAPPING!J:J,MAPPING!K:K,"CHECK")</f>
        <v>4 BHK</v>
      </c>
      <c r="P99" s="5" t="str">
        <f>_xlfn.XLOOKUP(J99,MAPPING!M:M,MAPPING!N:N,"CHECK")</f>
        <v>Resale</v>
      </c>
      <c r="Q99" s="5">
        <f t="shared" si="8"/>
        <v>3485000</v>
      </c>
      <c r="R99" s="5">
        <f t="shared" si="9"/>
        <v>903</v>
      </c>
      <c r="S99" s="5">
        <f t="shared" si="10"/>
        <v>3859.357696566999</v>
      </c>
      <c r="T99" s="5"/>
      <c r="U99" s="5"/>
      <c r="V99" s="5"/>
      <c r="W99" s="5">
        <f t="shared" si="11"/>
        <v>0</v>
      </c>
      <c r="X99" s="5" t="str" cm="1">
        <f t="array" ref="X99">IFERROR(MEDIAN(_xlfn._xlws.FILTER($S$2:$S$209,($M$2:$M$209=U99)*($N$2:$N$209=V99)*($P$2:$P$209="Resale")*($S$2:$S$209&lt;&gt;""))),"")</f>
        <v/>
      </c>
      <c r="Y99" s="5" t="str">
        <f t="shared" si="12"/>
        <v/>
      </c>
      <c r="Z99" s="5">
        <f t="shared" si="13"/>
        <v>0</v>
      </c>
      <c r="AA99" s="5" t="str" cm="1">
        <f t="array" ref="AA99">IF(Z99=0,"",MEDIAN(_xlfn._xlws.FILTER($Y$2:$Y$209,($M$2:$M$209=U99)*($N$2:$N$209=V99)*($P$2:$P$209="Long Term Rental")*($Y$2:$Y$209&lt;&gt;""),"")))</f>
        <v/>
      </c>
      <c r="AB99" s="5" t="str">
        <f t="shared" si="14"/>
        <v/>
      </c>
      <c r="AC99" s="5" t="str" cm="1">
        <f t="array" ref="AC99">IFERROR(MEDIAN(_xlfn._xlws.FILTER($Q$2:$Q$209,($M$2:$M$209=U99)*($P$2:$P$209="Short Term Rental")*($Q$2:$Q$209&lt;&gt;""))),"")</f>
        <v/>
      </c>
    </row>
    <row r="100" spans="1:29" ht="15" thickBot="1" x14ac:dyDescent="0.4">
      <c r="A100" s="1" t="s">
        <v>83</v>
      </c>
      <c r="B100" s="1" t="s">
        <v>84</v>
      </c>
      <c r="C100" s="1" t="s">
        <v>51</v>
      </c>
      <c r="D100" s="1" t="s">
        <v>63</v>
      </c>
      <c r="E100" s="1" t="s">
        <v>42</v>
      </c>
      <c r="F100" s="3">
        <v>3.84</v>
      </c>
      <c r="G100" s="1" t="s">
        <v>85</v>
      </c>
      <c r="H100" s="3">
        <v>13.54</v>
      </c>
      <c r="I100" s="1" t="s">
        <v>64</v>
      </c>
      <c r="J100" s="1" t="s">
        <v>37</v>
      </c>
      <c r="K100" s="1" t="s">
        <v>19</v>
      </c>
      <c r="L100" s="1"/>
      <c r="M100" s="5" t="str">
        <f>_xlfn.XLOOKUP(TRIM(C100),MAPPING!A:A,MAPPING!B:B,"CHECK")</f>
        <v>Kashele</v>
      </c>
      <c r="N100" s="5" t="str">
        <f>_xlfn.XLOOKUP(D100,MAPPING!G:G,MAPPING!H:H,"CHECK")</f>
        <v>Plot</v>
      </c>
      <c r="O100" s="5" t="str">
        <f>_xlfn.XLOOKUP(E100,MAPPING!J:J,MAPPING!K:K,"CHECK")</f>
        <v>NA</v>
      </c>
      <c r="P100" s="5" t="str">
        <f>_xlfn.XLOOKUP(J100,MAPPING!M:M,MAPPING!N:N,"CHECK")</f>
        <v>Resale</v>
      </c>
      <c r="Q100" s="5">
        <f t="shared" si="8"/>
        <v>135400000</v>
      </c>
      <c r="R100" s="5">
        <f t="shared" si="9"/>
        <v>167270.39999999999</v>
      </c>
      <c r="S100" s="5">
        <f t="shared" si="10"/>
        <v>809.46778389960207</v>
      </c>
      <c r="T100" s="5"/>
      <c r="U100" s="5"/>
      <c r="V100" s="5"/>
      <c r="W100" s="5">
        <f t="shared" si="11"/>
        <v>0</v>
      </c>
      <c r="X100" s="5" t="str" cm="1">
        <f t="array" ref="X100">IFERROR(MEDIAN(_xlfn._xlws.FILTER($S$2:$S$209,($M$2:$M$209=U100)*($N$2:$N$209=V100)*($P$2:$P$209="Resale")*($S$2:$S$209&lt;&gt;""))),"")</f>
        <v/>
      </c>
      <c r="Y100" s="5" t="str">
        <f t="shared" si="12"/>
        <v/>
      </c>
      <c r="Z100" s="5">
        <f t="shared" si="13"/>
        <v>0</v>
      </c>
      <c r="AA100" s="5" t="str" cm="1">
        <f t="array" ref="AA100">IF(Z100=0,"",MEDIAN(_xlfn._xlws.FILTER($Y$2:$Y$209,($M$2:$M$209=U100)*($N$2:$N$209=V100)*($P$2:$P$209="Long Term Rental")*($Y$2:$Y$209&lt;&gt;""),"")))</f>
        <v/>
      </c>
      <c r="AB100" s="5" t="str">
        <f t="shared" si="14"/>
        <v/>
      </c>
      <c r="AC100" s="5" t="str" cm="1">
        <f t="array" ref="AC100">IFERROR(MEDIAN(_xlfn._xlws.FILTER($Q$2:$Q$209,($M$2:$M$209=U100)*($P$2:$P$209="Short Term Rental")*($Q$2:$Q$209&lt;&gt;""))),"")</f>
        <v/>
      </c>
    </row>
    <row r="101" spans="1:29" ht="15" thickBot="1" x14ac:dyDescent="0.4">
      <c r="A101" s="1" t="s">
        <v>49</v>
      </c>
      <c r="B101" s="1" t="s">
        <v>50</v>
      </c>
      <c r="C101" s="1" t="s">
        <v>51</v>
      </c>
      <c r="D101" s="1" t="s">
        <v>47</v>
      </c>
      <c r="E101" s="1" t="s">
        <v>52</v>
      </c>
      <c r="F101" s="3">
        <v>1850</v>
      </c>
      <c r="G101" s="1" t="s">
        <v>30</v>
      </c>
      <c r="H101" s="3">
        <v>56.88</v>
      </c>
      <c r="I101" s="1" t="s">
        <v>36</v>
      </c>
      <c r="J101" s="1" t="s">
        <v>37</v>
      </c>
      <c r="K101" s="1" t="s">
        <v>53</v>
      </c>
      <c r="L101" s="1"/>
      <c r="M101" s="5" t="str">
        <f>_xlfn.XLOOKUP(TRIM(C101),MAPPING!A:A,MAPPING!B:B,"CHECK")</f>
        <v>Kashele</v>
      </c>
      <c r="N101" s="5" t="str">
        <f>_xlfn.XLOOKUP(D101,MAPPING!G:G,MAPPING!H:H,"CHECK")</f>
        <v>Villa</v>
      </c>
      <c r="O101" s="5" t="str">
        <f>_xlfn.XLOOKUP(E101,MAPPING!J:J,MAPPING!K:K,"CHECK")</f>
        <v>2 BHK</v>
      </c>
      <c r="P101" s="5" t="str">
        <f>_xlfn.XLOOKUP(J101,MAPPING!M:M,MAPPING!N:N,"CHECK")</f>
        <v>Resale</v>
      </c>
      <c r="Q101" s="5">
        <f t="shared" si="8"/>
        <v>5688000</v>
      </c>
      <c r="R101" s="5">
        <f t="shared" si="9"/>
        <v>1850</v>
      </c>
      <c r="S101" s="5">
        <f t="shared" si="10"/>
        <v>3074.5945945945946</v>
      </c>
      <c r="T101" s="5"/>
      <c r="U101" s="5"/>
      <c r="V101" s="5"/>
      <c r="W101" s="5">
        <f t="shared" si="11"/>
        <v>0</v>
      </c>
      <c r="X101" s="5" t="str" cm="1">
        <f t="array" ref="X101">IFERROR(MEDIAN(_xlfn._xlws.FILTER($S$2:$S$209,($M$2:$M$209=U101)*($N$2:$N$209=V101)*($P$2:$P$209="Resale")*($S$2:$S$209&lt;&gt;""))),"")</f>
        <v/>
      </c>
      <c r="Y101" s="5" t="str">
        <f t="shared" si="12"/>
        <v/>
      </c>
      <c r="Z101" s="5">
        <f t="shared" si="13"/>
        <v>0</v>
      </c>
      <c r="AA101" s="5" t="str" cm="1">
        <f t="array" ref="AA101">IF(Z101=0,"",MEDIAN(_xlfn._xlws.FILTER($Y$2:$Y$209,($M$2:$M$209=U101)*($N$2:$N$209=V101)*($P$2:$P$209="Long Term Rental")*($Y$2:$Y$209&lt;&gt;""),"")))</f>
        <v/>
      </c>
      <c r="AB101" s="5" t="str">
        <f t="shared" si="14"/>
        <v/>
      </c>
      <c r="AC101" s="5" t="str" cm="1">
        <f t="array" ref="AC101">IFERROR(MEDIAN(_xlfn._xlws.FILTER($Q$2:$Q$209,($M$2:$M$209=U101)*($P$2:$P$209="Short Term Rental")*($Q$2:$Q$209&lt;&gt;""))),"")</f>
        <v/>
      </c>
    </row>
    <row r="102" spans="1:29" ht="15" thickBot="1" x14ac:dyDescent="0.4">
      <c r="A102" s="1" t="s">
        <v>86</v>
      </c>
      <c r="B102" s="7" t="s">
        <v>87</v>
      </c>
      <c r="C102" s="1" t="s">
        <v>88</v>
      </c>
      <c r="D102" s="1" t="s">
        <v>47</v>
      </c>
      <c r="E102" s="1" t="s">
        <v>25</v>
      </c>
      <c r="F102" s="3">
        <v>1054</v>
      </c>
      <c r="G102" s="1" t="s">
        <v>30</v>
      </c>
      <c r="H102" s="3">
        <v>39.51</v>
      </c>
      <c r="I102" s="1" t="s">
        <v>36</v>
      </c>
      <c r="J102" s="1" t="s">
        <v>37</v>
      </c>
      <c r="K102" s="1" t="s">
        <v>19</v>
      </c>
      <c r="L102" s="1"/>
      <c r="M102" s="5" t="str">
        <f>_xlfn.XLOOKUP(TRIM(C102),MAPPING!A:A,MAPPING!B:B,"CHECK")</f>
        <v>Kashele</v>
      </c>
      <c r="N102" s="5" t="str">
        <f>_xlfn.XLOOKUP(D102,MAPPING!G:G,MAPPING!H:H,"CHECK")</f>
        <v>Villa</v>
      </c>
      <c r="O102" s="5" t="str">
        <f>_xlfn.XLOOKUP(E102,MAPPING!J:J,MAPPING!K:K,"CHECK")</f>
        <v>3 BHK</v>
      </c>
      <c r="P102" s="5" t="str">
        <f>_xlfn.XLOOKUP(J102,MAPPING!M:M,MAPPING!N:N,"CHECK")</f>
        <v>Resale</v>
      </c>
      <c r="Q102" s="5">
        <f t="shared" si="8"/>
        <v>3951000</v>
      </c>
      <c r="R102" s="5">
        <f t="shared" si="9"/>
        <v>1054</v>
      </c>
      <c r="S102" s="5">
        <f t="shared" si="10"/>
        <v>3748.5768500948766</v>
      </c>
      <c r="T102" s="5"/>
      <c r="U102" s="5"/>
      <c r="V102" s="5"/>
      <c r="W102" s="5">
        <f t="shared" si="11"/>
        <v>0</v>
      </c>
      <c r="X102" s="5" t="str" cm="1">
        <f t="array" ref="X102">IFERROR(MEDIAN(_xlfn._xlws.FILTER($S$2:$S$209,($M$2:$M$209=U102)*($N$2:$N$209=V102)*($P$2:$P$209="Resale")*($S$2:$S$209&lt;&gt;""))),"")</f>
        <v/>
      </c>
      <c r="Y102" s="5" t="str">
        <f t="shared" si="12"/>
        <v/>
      </c>
      <c r="Z102" s="5">
        <f t="shared" si="13"/>
        <v>0</v>
      </c>
      <c r="AA102" s="5" t="str" cm="1">
        <f t="array" ref="AA102">IF(Z102=0,"",MEDIAN(_xlfn._xlws.FILTER($Y$2:$Y$209,($M$2:$M$209=U102)*($N$2:$N$209=V102)*($P$2:$P$209="Long Term Rental")*($Y$2:$Y$209&lt;&gt;""),"")))</f>
        <v/>
      </c>
      <c r="AB102" s="5" t="str">
        <f t="shared" si="14"/>
        <v/>
      </c>
      <c r="AC102" s="5" t="str" cm="1">
        <f t="array" ref="AC102">IFERROR(MEDIAN(_xlfn._xlws.FILTER($Q$2:$Q$209,($M$2:$M$209=U102)*($P$2:$P$209="Short Term Rental")*($Q$2:$Q$209&lt;&gt;""))),"")</f>
        <v/>
      </c>
    </row>
    <row r="103" spans="1:29" ht="15" thickBot="1" x14ac:dyDescent="0.4">
      <c r="A103" s="1" t="s">
        <v>414</v>
      </c>
      <c r="B103" s="1" t="s">
        <v>84</v>
      </c>
      <c r="C103" s="1" t="s">
        <v>51</v>
      </c>
      <c r="D103" s="1" t="s">
        <v>63</v>
      </c>
      <c r="E103" s="1" t="s">
        <v>42</v>
      </c>
      <c r="F103" s="1"/>
      <c r="G103" s="1" t="s">
        <v>43</v>
      </c>
      <c r="H103" s="3">
        <v>2.13</v>
      </c>
      <c r="I103" s="1" t="s">
        <v>64</v>
      </c>
      <c r="J103" s="1" t="s">
        <v>37</v>
      </c>
      <c r="K103" s="1" t="s">
        <v>19</v>
      </c>
      <c r="L103" s="1"/>
      <c r="M103" s="5" t="str">
        <f>_xlfn.XLOOKUP(TRIM(C103),MAPPING!A:A,MAPPING!B:B,"CHECK")</f>
        <v>Kashele</v>
      </c>
      <c r="N103" s="5" t="str">
        <f>_xlfn.XLOOKUP(D103,MAPPING!G:G,MAPPING!H:H,"CHECK")</f>
        <v>Plot</v>
      </c>
      <c r="O103" s="5" t="str">
        <f>_xlfn.XLOOKUP(E103,MAPPING!J:J,MAPPING!K:K,"CHECK")</f>
        <v>NA</v>
      </c>
      <c r="P103" s="5" t="str">
        <f>_xlfn.XLOOKUP(J103,MAPPING!M:M,MAPPING!N:N,"CHECK")</f>
        <v>Resale</v>
      </c>
      <c r="Q103" s="5">
        <f t="shared" si="8"/>
        <v>21300000</v>
      </c>
      <c r="R103" s="5">
        <f t="shared" si="9"/>
        <v>0</v>
      </c>
      <c r="S103" s="5" t="str">
        <f t="shared" si="10"/>
        <v/>
      </c>
      <c r="T103" s="5"/>
      <c r="U103" s="5"/>
      <c r="V103" s="5"/>
      <c r="W103" s="5">
        <f t="shared" si="11"/>
        <v>0</v>
      </c>
      <c r="X103" s="5" t="str" cm="1">
        <f t="array" ref="X103">IFERROR(MEDIAN(_xlfn._xlws.FILTER($S$2:$S$209,($M$2:$M$209=U103)*($N$2:$N$209=V103)*($P$2:$P$209="Resale")*($S$2:$S$209&lt;&gt;""))),"")</f>
        <v/>
      </c>
      <c r="Y103" s="5" t="str">
        <f t="shared" si="12"/>
        <v/>
      </c>
      <c r="Z103" s="5">
        <f t="shared" si="13"/>
        <v>0</v>
      </c>
      <c r="AA103" s="5" t="str" cm="1">
        <f t="array" ref="AA103">IF(Z103=0,"",MEDIAN(_xlfn._xlws.FILTER($Y$2:$Y$209,($M$2:$M$209=U103)*($N$2:$N$209=V103)*($P$2:$P$209="Long Term Rental")*($Y$2:$Y$209&lt;&gt;""),"")))</f>
        <v/>
      </c>
      <c r="AB103" s="5" t="str">
        <f t="shared" si="14"/>
        <v/>
      </c>
      <c r="AC103" s="5" t="str" cm="1">
        <f t="array" ref="AC103">IFERROR(MEDIAN(_xlfn._xlws.FILTER($Q$2:$Q$209,($M$2:$M$209=U103)*($P$2:$P$209="Short Term Rental")*($Q$2:$Q$209&lt;&gt;""))),"")</f>
        <v/>
      </c>
    </row>
    <row r="104" spans="1:29" ht="15" thickBot="1" x14ac:dyDescent="0.4">
      <c r="A104" s="1" t="s">
        <v>393</v>
      </c>
      <c r="B104" s="1" t="s">
        <v>394</v>
      </c>
      <c r="C104" s="1" t="s">
        <v>152</v>
      </c>
      <c r="D104" s="1" t="s">
        <v>41</v>
      </c>
      <c r="E104" s="1" t="s">
        <v>42</v>
      </c>
      <c r="F104" s="3">
        <v>1.52</v>
      </c>
      <c r="G104" s="1" t="s">
        <v>85</v>
      </c>
      <c r="H104" s="3">
        <v>5.68</v>
      </c>
      <c r="I104" s="1" t="s">
        <v>64</v>
      </c>
      <c r="J104" s="1" t="s">
        <v>37</v>
      </c>
      <c r="K104" s="1" t="s">
        <v>53</v>
      </c>
      <c r="L104" s="1"/>
      <c r="M104" s="5" t="str">
        <f>_xlfn.XLOOKUP(TRIM(C104),MAPPING!A:A,MAPPING!B:B,"CHECK")</f>
        <v>Kashele</v>
      </c>
      <c r="N104" s="5" t="str">
        <f>_xlfn.XLOOKUP(D104,MAPPING!G:G,MAPPING!H:H,"CHECK")</f>
        <v>Plot</v>
      </c>
      <c r="O104" s="5" t="str">
        <f>_xlfn.XLOOKUP(E104,MAPPING!J:J,MAPPING!K:K,"CHECK")</f>
        <v>NA</v>
      </c>
      <c r="P104" s="5" t="str">
        <f>_xlfn.XLOOKUP(J104,MAPPING!M:M,MAPPING!N:N,"CHECK")</f>
        <v>Resale</v>
      </c>
      <c r="Q104" s="5">
        <f t="shared" si="8"/>
        <v>56800000</v>
      </c>
      <c r="R104" s="5">
        <f t="shared" si="9"/>
        <v>66211.199999999997</v>
      </c>
      <c r="S104" s="5">
        <f t="shared" si="10"/>
        <v>857.86090570779572</v>
      </c>
      <c r="T104" s="5"/>
      <c r="U104" s="5"/>
      <c r="V104" s="5"/>
      <c r="W104" s="5">
        <f t="shared" si="11"/>
        <v>0</v>
      </c>
      <c r="X104" s="5" t="str" cm="1">
        <f t="array" ref="X104">IFERROR(MEDIAN(_xlfn._xlws.FILTER($S$2:$S$209,($M$2:$M$209=U104)*($N$2:$N$209=V104)*($P$2:$P$209="Resale")*($S$2:$S$209&lt;&gt;""))),"")</f>
        <v/>
      </c>
      <c r="Y104" s="5" t="str">
        <f t="shared" si="12"/>
        <v/>
      </c>
      <c r="Z104" s="5">
        <f t="shared" si="13"/>
        <v>0</v>
      </c>
      <c r="AA104" s="5" t="str" cm="1">
        <f t="array" ref="AA104">IF(Z104=0,"",MEDIAN(_xlfn._xlws.FILTER($Y$2:$Y$209,($M$2:$M$209=U104)*($N$2:$N$209=V104)*($P$2:$P$209="Long Term Rental")*($Y$2:$Y$209&lt;&gt;""),"")))</f>
        <v/>
      </c>
      <c r="AB104" s="5" t="str">
        <f t="shared" si="14"/>
        <v/>
      </c>
      <c r="AC104" s="5" t="str" cm="1">
        <f t="array" ref="AC104">IFERROR(MEDIAN(_xlfn._xlws.FILTER($Q$2:$Q$209,($M$2:$M$209=U104)*($P$2:$P$209="Short Term Rental")*($Q$2:$Q$209&lt;&gt;""))),"")</f>
        <v/>
      </c>
    </row>
    <row r="105" spans="1:29" ht="15" thickBot="1" x14ac:dyDescent="0.4">
      <c r="A105" s="1" t="s">
        <v>283</v>
      </c>
      <c r="B105" s="1" t="s">
        <v>284</v>
      </c>
      <c r="C105" s="1" t="s">
        <v>152</v>
      </c>
      <c r="D105" s="1" t="s">
        <v>131</v>
      </c>
      <c r="E105" s="1" t="s">
        <v>42</v>
      </c>
      <c r="F105" s="3">
        <v>2658</v>
      </c>
      <c r="G105" s="1" t="s">
        <v>30</v>
      </c>
      <c r="H105" s="3">
        <v>18.5</v>
      </c>
      <c r="I105" s="1" t="s">
        <v>36</v>
      </c>
      <c r="J105" s="1" t="s">
        <v>37</v>
      </c>
      <c r="K105" s="1" t="s">
        <v>19</v>
      </c>
      <c r="L105" s="1"/>
      <c r="M105" s="5" t="str">
        <f>_xlfn.XLOOKUP(TRIM(C105),MAPPING!A:A,MAPPING!B:B,"CHECK")</f>
        <v>Kashele</v>
      </c>
      <c r="N105" s="5" t="str">
        <f>_xlfn.XLOOKUP(D105,MAPPING!G:G,MAPPING!H:H,"CHECK")</f>
        <v>Plot</v>
      </c>
      <c r="O105" s="5" t="str">
        <f>_xlfn.XLOOKUP(E105,MAPPING!J:J,MAPPING!K:K,"CHECK")</f>
        <v>NA</v>
      </c>
      <c r="P105" s="5" t="str">
        <f>_xlfn.XLOOKUP(J105,MAPPING!M:M,MAPPING!N:N,"CHECK")</f>
        <v>Resale</v>
      </c>
      <c r="Q105" s="5">
        <f t="shared" si="8"/>
        <v>1850000</v>
      </c>
      <c r="R105" s="5">
        <f t="shared" si="9"/>
        <v>2658</v>
      </c>
      <c r="S105" s="5">
        <f t="shared" si="10"/>
        <v>696.01203912716323</v>
      </c>
      <c r="T105" s="5"/>
      <c r="U105" s="5"/>
      <c r="V105" s="5"/>
      <c r="W105" s="5">
        <f t="shared" si="11"/>
        <v>0</v>
      </c>
      <c r="X105" s="5" t="str" cm="1">
        <f t="array" ref="X105">IFERROR(MEDIAN(_xlfn._xlws.FILTER($S$2:$S$209,($M$2:$M$209=U105)*($N$2:$N$209=V105)*($P$2:$P$209="Resale")*($S$2:$S$209&lt;&gt;""))),"")</f>
        <v/>
      </c>
      <c r="Y105" s="5" t="str">
        <f t="shared" si="12"/>
        <v/>
      </c>
      <c r="Z105" s="5">
        <f t="shared" si="13"/>
        <v>0</v>
      </c>
      <c r="AA105" s="5" t="str" cm="1">
        <f t="array" ref="AA105">IF(Z105=0,"",MEDIAN(_xlfn._xlws.FILTER($Y$2:$Y$209,($M$2:$M$209=U105)*($N$2:$N$209=V105)*($P$2:$P$209="Long Term Rental")*($Y$2:$Y$209&lt;&gt;""),"")))</f>
        <v/>
      </c>
      <c r="AB105" s="5" t="str">
        <f t="shared" si="14"/>
        <v/>
      </c>
      <c r="AC105" s="5" t="str" cm="1">
        <f t="array" ref="AC105">IFERROR(MEDIAN(_xlfn._xlws.FILTER($Q$2:$Q$209,($M$2:$M$209=U105)*($P$2:$P$209="Short Term Rental")*($Q$2:$Q$209&lt;&gt;""))),"")</f>
        <v/>
      </c>
    </row>
    <row r="106" spans="1:29" ht="15" thickBot="1" x14ac:dyDescent="0.4">
      <c r="A106" s="1" t="s">
        <v>236</v>
      </c>
      <c r="B106" s="1" t="s">
        <v>237</v>
      </c>
      <c r="C106" s="1" t="s">
        <v>33</v>
      </c>
      <c r="D106" s="1" t="s">
        <v>131</v>
      </c>
      <c r="E106" s="1" t="s">
        <v>42</v>
      </c>
      <c r="F106" s="3">
        <v>2566</v>
      </c>
      <c r="G106" s="1" t="s">
        <v>30</v>
      </c>
      <c r="H106" s="3">
        <v>17.29</v>
      </c>
      <c r="I106" s="1" t="s">
        <v>36</v>
      </c>
      <c r="J106" s="1" t="s">
        <v>37</v>
      </c>
      <c r="K106" s="1" t="s">
        <v>19</v>
      </c>
      <c r="L106" s="1"/>
      <c r="M106" s="5" t="str">
        <f>_xlfn.XLOOKUP(TRIM(C106),MAPPING!A:A,MAPPING!B:B,"CHECK")</f>
        <v>Kashele</v>
      </c>
      <c r="N106" s="5" t="str">
        <f>_xlfn.XLOOKUP(D106,MAPPING!G:G,MAPPING!H:H,"CHECK")</f>
        <v>Plot</v>
      </c>
      <c r="O106" s="5" t="str">
        <f>_xlfn.XLOOKUP(E106,MAPPING!J:J,MAPPING!K:K,"CHECK")</f>
        <v>NA</v>
      </c>
      <c r="P106" s="5" t="str">
        <f>_xlfn.XLOOKUP(J106,MAPPING!M:M,MAPPING!N:N,"CHECK")</f>
        <v>Resale</v>
      </c>
      <c r="Q106" s="5">
        <f t="shared" si="8"/>
        <v>1729000</v>
      </c>
      <c r="R106" s="5">
        <f t="shared" si="9"/>
        <v>2566</v>
      </c>
      <c r="S106" s="5">
        <f t="shared" si="10"/>
        <v>673.81137957911142</v>
      </c>
      <c r="T106" s="5"/>
      <c r="U106" s="5"/>
      <c r="V106" s="5"/>
      <c r="W106" s="5">
        <f t="shared" si="11"/>
        <v>0</v>
      </c>
      <c r="X106" s="5" t="str" cm="1">
        <f t="array" ref="X106">IFERROR(MEDIAN(_xlfn._xlws.FILTER($S$2:$S$209,($M$2:$M$209=U106)*($N$2:$N$209=V106)*($P$2:$P$209="Resale")*($S$2:$S$209&lt;&gt;""))),"")</f>
        <v/>
      </c>
      <c r="Y106" s="5" t="str">
        <f t="shared" si="12"/>
        <v/>
      </c>
      <c r="Z106" s="5">
        <f t="shared" si="13"/>
        <v>0</v>
      </c>
      <c r="AA106" s="5" t="str" cm="1">
        <f t="array" ref="AA106">IF(Z106=0,"",MEDIAN(_xlfn._xlws.FILTER($Y$2:$Y$209,($M$2:$M$209=U106)*($N$2:$N$209=V106)*($P$2:$P$209="Long Term Rental")*($Y$2:$Y$209&lt;&gt;""),"")))</f>
        <v/>
      </c>
      <c r="AB106" s="5" t="str">
        <f t="shared" si="14"/>
        <v/>
      </c>
      <c r="AC106" s="5" t="str" cm="1">
        <f t="array" ref="AC106">IFERROR(MEDIAN(_xlfn._xlws.FILTER($Q$2:$Q$209,($M$2:$M$209=U106)*($P$2:$P$209="Short Term Rental")*($Q$2:$Q$209&lt;&gt;""))),"")</f>
        <v/>
      </c>
    </row>
    <row r="107" spans="1:29" ht="15" thickBot="1" x14ac:dyDescent="0.4">
      <c r="A107" s="1" t="s">
        <v>344</v>
      </c>
      <c r="B107" s="1" t="s">
        <v>345</v>
      </c>
      <c r="C107" s="1" t="s">
        <v>33</v>
      </c>
      <c r="D107" s="1" t="s">
        <v>166</v>
      </c>
      <c r="E107" s="1" t="s">
        <v>42</v>
      </c>
      <c r="F107" s="3">
        <v>1.05</v>
      </c>
      <c r="G107" s="1" t="s">
        <v>85</v>
      </c>
      <c r="H107" s="3">
        <v>51.33</v>
      </c>
      <c r="I107" s="1" t="s">
        <v>36</v>
      </c>
      <c r="J107" s="1" t="s">
        <v>37</v>
      </c>
      <c r="K107" s="1" t="s">
        <v>124</v>
      </c>
      <c r="L107" s="1"/>
      <c r="M107" s="5" t="str">
        <f>_xlfn.XLOOKUP(TRIM(C107),MAPPING!A:A,MAPPING!B:B,"CHECK")</f>
        <v>Kashele</v>
      </c>
      <c r="N107" s="5" t="str">
        <f>_xlfn.XLOOKUP(D107,MAPPING!G:G,MAPPING!H:H,"CHECK")</f>
        <v>Farmland</v>
      </c>
      <c r="O107" s="5" t="str">
        <f>_xlfn.XLOOKUP(E107,MAPPING!J:J,MAPPING!K:K,"CHECK")</f>
        <v>NA</v>
      </c>
      <c r="P107" s="5" t="str">
        <f>_xlfn.XLOOKUP(J107,MAPPING!M:M,MAPPING!N:N,"CHECK")</f>
        <v>Resale</v>
      </c>
      <c r="Q107" s="5">
        <f t="shared" si="8"/>
        <v>5133000</v>
      </c>
      <c r="R107" s="5">
        <f t="shared" si="9"/>
        <v>45738</v>
      </c>
      <c r="S107" s="5">
        <f t="shared" si="10"/>
        <v>112.22615768070314</v>
      </c>
      <c r="T107" s="5"/>
      <c r="U107" s="5"/>
      <c r="V107" s="5"/>
      <c r="W107" s="5">
        <f t="shared" si="11"/>
        <v>0</v>
      </c>
      <c r="X107" s="5" t="str" cm="1">
        <f t="array" ref="X107">IFERROR(MEDIAN(_xlfn._xlws.FILTER($S$2:$S$209,($M$2:$M$209=U107)*($N$2:$N$209=V107)*($P$2:$P$209="Resale")*($S$2:$S$209&lt;&gt;""))),"")</f>
        <v/>
      </c>
      <c r="Y107" s="5" t="str">
        <f t="shared" si="12"/>
        <v/>
      </c>
      <c r="Z107" s="5">
        <f t="shared" si="13"/>
        <v>0</v>
      </c>
      <c r="AA107" s="5" t="str" cm="1">
        <f t="array" ref="AA107">IF(Z107=0,"",MEDIAN(_xlfn._xlws.FILTER($Y$2:$Y$209,($M$2:$M$209=U107)*($N$2:$N$209=V107)*($P$2:$P$209="Long Term Rental")*($Y$2:$Y$209&lt;&gt;""),"")))</f>
        <v/>
      </c>
      <c r="AB107" s="5" t="str">
        <f t="shared" si="14"/>
        <v/>
      </c>
      <c r="AC107" s="5" t="str" cm="1">
        <f t="array" ref="AC107">IFERROR(MEDIAN(_xlfn._xlws.FILTER($Q$2:$Q$209,($M$2:$M$209=U107)*($P$2:$P$209="Short Term Rental")*($Q$2:$Q$209&lt;&gt;""))),"")</f>
        <v/>
      </c>
    </row>
    <row r="108" spans="1:29" ht="15" thickBot="1" x14ac:dyDescent="0.4">
      <c r="A108" s="1" t="s">
        <v>164</v>
      </c>
      <c r="B108" s="1" t="s">
        <v>165</v>
      </c>
      <c r="C108" s="1" t="s">
        <v>152</v>
      </c>
      <c r="D108" s="1" t="s">
        <v>166</v>
      </c>
      <c r="E108" s="1" t="s">
        <v>42</v>
      </c>
      <c r="F108" s="3">
        <v>3.37</v>
      </c>
      <c r="G108" s="1" t="s">
        <v>85</v>
      </c>
      <c r="H108" s="3">
        <v>1.95</v>
      </c>
      <c r="I108" s="1" t="s">
        <v>64</v>
      </c>
      <c r="J108" s="1" t="s">
        <v>37</v>
      </c>
      <c r="K108" s="1" t="s">
        <v>53</v>
      </c>
      <c r="L108" s="1"/>
      <c r="M108" s="5" t="str">
        <f>_xlfn.XLOOKUP(TRIM(C108),MAPPING!A:A,MAPPING!B:B,"CHECK")</f>
        <v>Kashele</v>
      </c>
      <c r="N108" s="5" t="str">
        <f>_xlfn.XLOOKUP(D108,MAPPING!G:G,MAPPING!H:H,"CHECK")</f>
        <v>Farmland</v>
      </c>
      <c r="O108" s="5" t="str">
        <f>_xlfn.XLOOKUP(E108,MAPPING!J:J,MAPPING!K:K,"CHECK")</f>
        <v>NA</v>
      </c>
      <c r="P108" s="5" t="str">
        <f>_xlfn.XLOOKUP(J108,MAPPING!M:M,MAPPING!N:N,"CHECK")</f>
        <v>Resale</v>
      </c>
      <c r="Q108" s="5">
        <f t="shared" si="8"/>
        <v>19500000</v>
      </c>
      <c r="R108" s="5">
        <f t="shared" si="9"/>
        <v>146797.20000000001</v>
      </c>
      <c r="S108" s="5">
        <f t="shared" si="10"/>
        <v>132.83632112874088</v>
      </c>
      <c r="T108" s="5"/>
      <c r="U108" s="5"/>
      <c r="V108" s="5"/>
      <c r="W108" s="5">
        <f t="shared" si="11"/>
        <v>0</v>
      </c>
      <c r="X108" s="5" t="str" cm="1">
        <f t="array" ref="X108">IFERROR(MEDIAN(_xlfn._xlws.FILTER($S$2:$S$209,($M$2:$M$209=U108)*($N$2:$N$209=V108)*($P$2:$P$209="Resale")*($S$2:$S$209&lt;&gt;""))),"")</f>
        <v/>
      </c>
      <c r="Y108" s="5" t="str">
        <f t="shared" si="12"/>
        <v/>
      </c>
      <c r="Z108" s="5">
        <f t="shared" si="13"/>
        <v>0</v>
      </c>
      <c r="AA108" s="5" t="str" cm="1">
        <f t="array" ref="AA108">IF(Z108=0,"",MEDIAN(_xlfn._xlws.FILTER($Y$2:$Y$209,($M$2:$M$209=U108)*($N$2:$N$209=V108)*($P$2:$P$209="Long Term Rental")*($Y$2:$Y$209&lt;&gt;""),"")))</f>
        <v/>
      </c>
      <c r="AB108" s="5" t="str">
        <f t="shared" si="14"/>
        <v/>
      </c>
      <c r="AC108" s="5" t="str" cm="1">
        <f t="array" ref="AC108">IFERROR(MEDIAN(_xlfn._xlws.FILTER($Q$2:$Q$209,($M$2:$M$209=U108)*($P$2:$P$209="Short Term Rental")*($Q$2:$Q$209&lt;&gt;""))),"")</f>
        <v/>
      </c>
    </row>
    <row r="109" spans="1:29" ht="15" thickBot="1" x14ac:dyDescent="0.4">
      <c r="A109" s="1" t="s">
        <v>238</v>
      </c>
      <c r="B109" s="1" t="s">
        <v>119</v>
      </c>
      <c r="C109" s="1" t="s">
        <v>88</v>
      </c>
      <c r="D109" s="1" t="s">
        <v>24</v>
      </c>
      <c r="E109" s="1" t="s">
        <v>71</v>
      </c>
      <c r="F109" s="3">
        <v>2419</v>
      </c>
      <c r="G109" s="1" t="s">
        <v>30</v>
      </c>
      <c r="H109" s="3">
        <v>93.86</v>
      </c>
      <c r="I109" s="1" t="s">
        <v>36</v>
      </c>
      <c r="J109" s="1" t="s">
        <v>37</v>
      </c>
      <c r="K109" s="1" t="s">
        <v>19</v>
      </c>
      <c r="L109" s="1"/>
      <c r="M109" s="5" t="str">
        <f>_xlfn.XLOOKUP(TRIM(C109),MAPPING!A:A,MAPPING!B:B,"CHECK")</f>
        <v>Kashele</v>
      </c>
      <c r="N109" s="5" t="str">
        <f>_xlfn.XLOOKUP(D109,MAPPING!G:G,MAPPING!H:H,"CHECK")</f>
        <v>Villa</v>
      </c>
      <c r="O109" s="5" t="str">
        <f>_xlfn.XLOOKUP(E109,MAPPING!J:J,MAPPING!K:K,"CHECK")</f>
        <v>2 BHK</v>
      </c>
      <c r="P109" s="5" t="str">
        <f>_xlfn.XLOOKUP(J109,MAPPING!M:M,MAPPING!N:N,"CHECK")</f>
        <v>Resale</v>
      </c>
      <c r="Q109" s="5">
        <f t="shared" si="8"/>
        <v>9386000</v>
      </c>
      <c r="R109" s="5">
        <f t="shared" si="9"/>
        <v>2419</v>
      </c>
      <c r="S109" s="5">
        <f t="shared" si="10"/>
        <v>3880.1157503100453</v>
      </c>
      <c r="T109" s="5"/>
      <c r="U109" s="5"/>
      <c r="V109" s="5"/>
      <c r="W109" s="5">
        <f t="shared" si="11"/>
        <v>0</v>
      </c>
      <c r="X109" s="5" t="str" cm="1">
        <f t="array" ref="X109">IFERROR(MEDIAN(_xlfn._xlws.FILTER($S$2:$S$209,($M$2:$M$209=U109)*($N$2:$N$209=V109)*($P$2:$P$209="Resale")*($S$2:$S$209&lt;&gt;""))),"")</f>
        <v/>
      </c>
      <c r="Y109" s="5" t="str">
        <f t="shared" si="12"/>
        <v/>
      </c>
      <c r="Z109" s="5">
        <f t="shared" si="13"/>
        <v>0</v>
      </c>
      <c r="AA109" s="5" t="str" cm="1">
        <f t="array" ref="AA109">IF(Z109=0,"",MEDIAN(_xlfn._xlws.FILTER($Y$2:$Y$209,($M$2:$M$209=U109)*($N$2:$N$209=V109)*($P$2:$P$209="Long Term Rental")*($Y$2:$Y$209&lt;&gt;""),"")))</f>
        <v/>
      </c>
      <c r="AB109" s="5" t="str">
        <f t="shared" si="14"/>
        <v/>
      </c>
      <c r="AC109" s="5" t="str" cm="1">
        <f t="array" ref="AC109">IFERROR(MEDIAN(_xlfn._xlws.FILTER($Q$2:$Q$209,($M$2:$M$209=U109)*($P$2:$P$209="Short Term Rental")*($Q$2:$Q$209&lt;&gt;""))),"")</f>
        <v/>
      </c>
    </row>
    <row r="110" spans="1:29" ht="15" thickBot="1" x14ac:dyDescent="0.4">
      <c r="A110" s="1" t="s">
        <v>288</v>
      </c>
      <c r="B110" s="1" t="s">
        <v>139</v>
      </c>
      <c r="C110" s="1" t="s">
        <v>51</v>
      </c>
      <c r="D110" s="1" t="s">
        <v>34</v>
      </c>
      <c r="E110" s="1" t="s">
        <v>48</v>
      </c>
      <c r="F110" s="3">
        <v>1892</v>
      </c>
      <c r="G110" s="1" t="s">
        <v>30</v>
      </c>
      <c r="H110" s="3">
        <v>21200</v>
      </c>
      <c r="I110" s="1" t="s">
        <v>17</v>
      </c>
      <c r="J110" s="1" t="s">
        <v>57</v>
      </c>
      <c r="K110" s="1" t="s">
        <v>19</v>
      </c>
      <c r="L110" s="1"/>
      <c r="M110" s="5" t="str">
        <f>_xlfn.XLOOKUP(TRIM(C110),MAPPING!A:A,MAPPING!B:B,"CHECK")</f>
        <v>Kashele</v>
      </c>
      <c r="N110" s="5" t="str">
        <f>_xlfn.XLOOKUP(D110,MAPPING!G:G,MAPPING!H:H,"CHECK")</f>
        <v>Villa</v>
      </c>
      <c r="O110" s="5" t="str">
        <f>_xlfn.XLOOKUP(E110,MAPPING!J:J,MAPPING!K:K,"CHECK")</f>
        <v>2 BHK</v>
      </c>
      <c r="P110" s="5" t="str">
        <f>_xlfn.XLOOKUP(J110,MAPPING!M:M,MAPPING!N:N,"CHECK")</f>
        <v>Long Term Rental</v>
      </c>
      <c r="Q110" s="5">
        <f t="shared" si="8"/>
        <v>21200</v>
      </c>
      <c r="R110" s="5">
        <f t="shared" si="9"/>
        <v>1892</v>
      </c>
      <c r="S110" s="5" t="str">
        <f t="shared" si="10"/>
        <v/>
      </c>
      <c r="T110" s="5"/>
      <c r="U110" s="5"/>
      <c r="V110" s="5"/>
      <c r="W110" s="5">
        <f t="shared" si="11"/>
        <v>0</v>
      </c>
      <c r="X110" s="5" t="str" cm="1">
        <f t="array" ref="X110">IFERROR(MEDIAN(_xlfn._xlws.FILTER($S$2:$S$209,($M$2:$M$209=U110)*($N$2:$N$209=V110)*($P$2:$P$209="Resale")*($S$2:$S$209&lt;&gt;""))),"")</f>
        <v/>
      </c>
      <c r="Y110" s="5">
        <f t="shared" si="12"/>
        <v>11.20507399577167</v>
      </c>
      <c r="Z110" s="5">
        <f t="shared" si="13"/>
        <v>0</v>
      </c>
      <c r="AA110" s="5" t="str" cm="1">
        <f t="array" ref="AA110">IF(Z110=0,"",MEDIAN(_xlfn._xlws.FILTER($Y$2:$Y$209,($M$2:$M$209=U110)*($N$2:$N$209=V110)*($P$2:$P$209="Long Term Rental")*($Y$2:$Y$209&lt;&gt;""),"")))</f>
        <v/>
      </c>
      <c r="AB110" s="5" t="str">
        <f t="shared" si="14"/>
        <v/>
      </c>
      <c r="AC110" s="5" t="str" cm="1">
        <f t="array" ref="AC110">IFERROR(MEDIAN(_xlfn._xlws.FILTER($Q$2:$Q$209,($M$2:$M$209=U110)*($P$2:$P$209="Short Term Rental")*($Q$2:$Q$209&lt;&gt;""))),"")</f>
        <v/>
      </c>
    </row>
    <row r="111" spans="1:29" ht="15" thickBot="1" x14ac:dyDescent="0.4">
      <c r="A111" s="1" t="s">
        <v>94</v>
      </c>
      <c r="B111" s="1" t="s">
        <v>95</v>
      </c>
      <c r="C111" s="1" t="s">
        <v>88</v>
      </c>
      <c r="D111" s="1" t="s">
        <v>15</v>
      </c>
      <c r="E111" s="1" t="s">
        <v>71</v>
      </c>
      <c r="F111" s="3">
        <v>1862</v>
      </c>
      <c r="G111" s="1" t="s">
        <v>30</v>
      </c>
      <c r="H111" s="3">
        <v>21300</v>
      </c>
      <c r="I111" s="1" t="s">
        <v>17</v>
      </c>
      <c r="J111" s="1" t="s">
        <v>57</v>
      </c>
      <c r="K111" s="1" t="s">
        <v>19</v>
      </c>
      <c r="L111" s="1"/>
      <c r="M111" s="5" t="str">
        <f>_xlfn.XLOOKUP(TRIM(C111),MAPPING!A:A,MAPPING!B:B,"CHECK")</f>
        <v>Kashele</v>
      </c>
      <c r="N111" s="5" t="str">
        <f>_xlfn.XLOOKUP(D111,MAPPING!G:G,MAPPING!H:H,"CHECK")</f>
        <v>Villa</v>
      </c>
      <c r="O111" s="5" t="str">
        <f>_xlfn.XLOOKUP(E111,MAPPING!J:J,MAPPING!K:K,"CHECK")</f>
        <v>2 BHK</v>
      </c>
      <c r="P111" s="5" t="str">
        <f>_xlfn.XLOOKUP(J111,MAPPING!M:M,MAPPING!N:N,"CHECK")</f>
        <v>Long Term Rental</v>
      </c>
      <c r="Q111" s="5">
        <f t="shared" si="8"/>
        <v>21300</v>
      </c>
      <c r="R111" s="5">
        <f t="shared" si="9"/>
        <v>1862</v>
      </c>
      <c r="S111" s="5" t="str">
        <f t="shared" si="10"/>
        <v/>
      </c>
      <c r="T111" s="5"/>
      <c r="U111" s="5"/>
      <c r="V111" s="5"/>
      <c r="W111" s="5">
        <f t="shared" si="11"/>
        <v>0</v>
      </c>
      <c r="X111" s="5" t="str" cm="1">
        <f t="array" ref="X111">IFERROR(MEDIAN(_xlfn._xlws.FILTER($S$2:$S$209,($M$2:$M$209=U111)*($N$2:$N$209=V111)*($P$2:$P$209="Resale")*($S$2:$S$209&lt;&gt;""))),"")</f>
        <v/>
      </c>
      <c r="Y111" s="5">
        <f t="shared" si="12"/>
        <v>11.439312567132117</v>
      </c>
      <c r="Z111" s="5">
        <f t="shared" si="13"/>
        <v>0</v>
      </c>
      <c r="AA111" s="5" t="str" cm="1">
        <f t="array" ref="AA111">IF(Z111=0,"",MEDIAN(_xlfn._xlws.FILTER($Y$2:$Y$209,($M$2:$M$209=U111)*($N$2:$N$209=V111)*($P$2:$P$209="Long Term Rental")*($Y$2:$Y$209&lt;&gt;""),"")))</f>
        <v/>
      </c>
      <c r="AB111" s="5" t="str">
        <f t="shared" si="14"/>
        <v/>
      </c>
      <c r="AC111" s="5" t="str" cm="1">
        <f t="array" ref="AC111">IFERROR(MEDIAN(_xlfn._xlws.FILTER($Q$2:$Q$209,($M$2:$M$209=U111)*($P$2:$P$209="Short Term Rental")*($Q$2:$Q$209&lt;&gt;""))),"")</f>
        <v/>
      </c>
    </row>
    <row r="112" spans="1:29" ht="15" thickBot="1" x14ac:dyDescent="0.4">
      <c r="A112" s="1" t="s">
        <v>412</v>
      </c>
      <c r="B112" s="1" t="s">
        <v>413</v>
      </c>
      <c r="C112" s="1" t="s">
        <v>152</v>
      </c>
      <c r="D112" s="1" t="s">
        <v>24</v>
      </c>
      <c r="E112" s="1" t="s">
        <v>29</v>
      </c>
      <c r="F112" s="3">
        <v>2141</v>
      </c>
      <c r="G112" s="1" t="s">
        <v>30</v>
      </c>
      <c r="H112" s="3">
        <v>28000</v>
      </c>
      <c r="I112" s="1" t="s">
        <v>17</v>
      </c>
      <c r="J112" s="1" t="s">
        <v>57</v>
      </c>
      <c r="K112" s="1" t="s">
        <v>19</v>
      </c>
      <c r="L112" s="1"/>
      <c r="M112" s="5" t="str">
        <f>_xlfn.XLOOKUP(TRIM(C112),MAPPING!A:A,MAPPING!B:B,"CHECK")</f>
        <v>Kashele</v>
      </c>
      <c r="N112" s="5" t="str">
        <f>_xlfn.XLOOKUP(D112,MAPPING!G:G,MAPPING!H:H,"CHECK")</f>
        <v>Villa</v>
      </c>
      <c r="O112" s="5" t="str">
        <f>_xlfn.XLOOKUP(E112,MAPPING!J:J,MAPPING!K:K,"CHECK")</f>
        <v>4 BHK</v>
      </c>
      <c r="P112" s="5" t="str">
        <f>_xlfn.XLOOKUP(J112,MAPPING!M:M,MAPPING!N:N,"CHECK")</f>
        <v>Long Term Rental</v>
      </c>
      <c r="Q112" s="5">
        <f t="shared" si="8"/>
        <v>28000</v>
      </c>
      <c r="R112" s="5">
        <f t="shared" si="9"/>
        <v>2141</v>
      </c>
      <c r="S112" s="5" t="str">
        <f t="shared" si="10"/>
        <v/>
      </c>
      <c r="T112" s="5"/>
      <c r="U112" s="5"/>
      <c r="V112" s="5"/>
      <c r="W112" s="5">
        <f t="shared" si="11"/>
        <v>0</v>
      </c>
      <c r="X112" s="5" t="str" cm="1">
        <f t="array" ref="X112">IFERROR(MEDIAN(_xlfn._xlws.FILTER($S$2:$S$209,($M$2:$M$209=U112)*($N$2:$N$209=V112)*($P$2:$P$209="Resale")*($S$2:$S$209&lt;&gt;""))),"")</f>
        <v/>
      </c>
      <c r="Y112" s="5">
        <f t="shared" si="12"/>
        <v>13.078000934142924</v>
      </c>
      <c r="Z112" s="5">
        <f t="shared" si="13"/>
        <v>0</v>
      </c>
      <c r="AA112" s="5" t="str" cm="1">
        <f t="array" ref="AA112">IF(Z112=0,"",MEDIAN(_xlfn._xlws.FILTER($Y$2:$Y$209,($M$2:$M$209=U112)*($N$2:$N$209=V112)*($P$2:$P$209="Long Term Rental")*($Y$2:$Y$209&lt;&gt;""),"")))</f>
        <v/>
      </c>
      <c r="AB112" s="5" t="str">
        <f t="shared" si="14"/>
        <v/>
      </c>
      <c r="AC112" s="5" t="str" cm="1">
        <f t="array" ref="AC112">IFERROR(MEDIAN(_xlfn._xlws.FILTER($Q$2:$Q$209,($M$2:$M$209=U112)*($P$2:$P$209="Short Term Rental")*($Q$2:$Q$209&lt;&gt;""))),"")</f>
        <v/>
      </c>
    </row>
    <row r="113" spans="1:29" ht="15" thickBot="1" x14ac:dyDescent="0.4">
      <c r="A113" s="1" t="s">
        <v>196</v>
      </c>
      <c r="B113" s="1" t="s">
        <v>197</v>
      </c>
      <c r="C113" s="1" t="s">
        <v>33</v>
      </c>
      <c r="D113" s="1" t="s">
        <v>15</v>
      </c>
      <c r="E113" s="1" t="s">
        <v>52</v>
      </c>
      <c r="F113" s="3">
        <v>1391</v>
      </c>
      <c r="G113" s="1" t="s">
        <v>30</v>
      </c>
      <c r="H113" s="3">
        <v>16800</v>
      </c>
      <c r="I113" s="1" t="s">
        <v>17</v>
      </c>
      <c r="J113" s="1" t="s">
        <v>57</v>
      </c>
      <c r="K113" s="1" t="s">
        <v>19</v>
      </c>
      <c r="L113" s="1"/>
      <c r="M113" s="5" t="str">
        <f>_xlfn.XLOOKUP(TRIM(C113),MAPPING!A:A,MAPPING!B:B,"CHECK")</f>
        <v>Kashele</v>
      </c>
      <c r="N113" s="5" t="str">
        <f>_xlfn.XLOOKUP(D113,MAPPING!G:G,MAPPING!H:H,"CHECK")</f>
        <v>Villa</v>
      </c>
      <c r="O113" s="5" t="str">
        <f>_xlfn.XLOOKUP(E113,MAPPING!J:J,MAPPING!K:K,"CHECK")</f>
        <v>2 BHK</v>
      </c>
      <c r="P113" s="5" t="str">
        <f>_xlfn.XLOOKUP(J113,MAPPING!M:M,MAPPING!N:N,"CHECK")</f>
        <v>Long Term Rental</v>
      </c>
      <c r="Q113" s="5">
        <f t="shared" si="8"/>
        <v>16800</v>
      </c>
      <c r="R113" s="5">
        <f t="shared" si="9"/>
        <v>1391</v>
      </c>
      <c r="S113" s="5" t="str">
        <f t="shared" si="10"/>
        <v/>
      </c>
      <c r="T113" s="5"/>
      <c r="U113" s="5"/>
      <c r="V113" s="5"/>
      <c r="W113" s="5">
        <f t="shared" si="11"/>
        <v>0</v>
      </c>
      <c r="X113" s="5" t="str" cm="1">
        <f t="array" ref="X113">IFERROR(MEDIAN(_xlfn._xlws.FILTER($S$2:$S$209,($M$2:$M$209=U113)*($N$2:$N$209=V113)*($P$2:$P$209="Resale")*($S$2:$S$209&lt;&gt;""))),"")</f>
        <v/>
      </c>
      <c r="Y113" s="5">
        <f t="shared" si="12"/>
        <v>12.077641984184041</v>
      </c>
      <c r="Z113" s="5">
        <f t="shared" si="13"/>
        <v>0</v>
      </c>
      <c r="AA113" s="5" t="str" cm="1">
        <f t="array" ref="AA113">IF(Z113=0,"",MEDIAN(_xlfn._xlws.FILTER($Y$2:$Y$209,($M$2:$M$209=U113)*($N$2:$N$209=V113)*($P$2:$P$209="Long Term Rental")*($Y$2:$Y$209&lt;&gt;""),"")))</f>
        <v/>
      </c>
      <c r="AB113" s="5" t="str">
        <f t="shared" si="14"/>
        <v/>
      </c>
      <c r="AC113" s="5" t="str" cm="1">
        <f t="array" ref="AC113">IFERROR(MEDIAN(_xlfn._xlws.FILTER($Q$2:$Q$209,($M$2:$M$209=U113)*($P$2:$P$209="Short Term Rental")*($Q$2:$Q$209&lt;&gt;""))),"")</f>
        <v/>
      </c>
    </row>
    <row r="114" spans="1:29" ht="15" thickBot="1" x14ac:dyDescent="0.4">
      <c r="A114" s="1" t="s">
        <v>138</v>
      </c>
      <c r="B114" s="1" t="s">
        <v>139</v>
      </c>
      <c r="C114" s="1" t="s">
        <v>51</v>
      </c>
      <c r="D114" s="1" t="s">
        <v>34</v>
      </c>
      <c r="E114" s="1" t="s">
        <v>48</v>
      </c>
      <c r="F114" s="3">
        <v>1724</v>
      </c>
      <c r="G114" s="1" t="s">
        <v>30</v>
      </c>
      <c r="H114" s="3">
        <v>21500</v>
      </c>
      <c r="I114" s="1" t="s">
        <v>17</v>
      </c>
      <c r="J114" s="1" t="s">
        <v>57</v>
      </c>
      <c r="K114" s="1" t="s">
        <v>19</v>
      </c>
      <c r="L114" s="1"/>
      <c r="M114" s="5" t="str">
        <f>_xlfn.XLOOKUP(TRIM(C114),MAPPING!A:A,MAPPING!B:B,"CHECK")</f>
        <v>Kashele</v>
      </c>
      <c r="N114" s="5" t="str">
        <f>_xlfn.XLOOKUP(D114,MAPPING!G:G,MAPPING!H:H,"CHECK")</f>
        <v>Villa</v>
      </c>
      <c r="O114" s="5" t="str">
        <f>_xlfn.XLOOKUP(E114,MAPPING!J:J,MAPPING!K:K,"CHECK")</f>
        <v>2 BHK</v>
      </c>
      <c r="P114" s="5" t="str">
        <f>_xlfn.XLOOKUP(J114,MAPPING!M:M,MAPPING!N:N,"CHECK")</f>
        <v>Long Term Rental</v>
      </c>
      <c r="Q114" s="5">
        <f t="shared" si="8"/>
        <v>21500</v>
      </c>
      <c r="R114" s="5">
        <f t="shared" si="9"/>
        <v>1724</v>
      </c>
      <c r="S114" s="5" t="str">
        <f t="shared" si="10"/>
        <v/>
      </c>
      <c r="T114" s="5"/>
      <c r="U114" s="5"/>
      <c r="V114" s="5"/>
      <c r="W114" s="5">
        <f t="shared" si="11"/>
        <v>0</v>
      </c>
      <c r="X114" s="5" t="str" cm="1">
        <f t="array" ref="X114">IFERROR(MEDIAN(_xlfn._xlws.FILTER($S$2:$S$209,($M$2:$M$209=U114)*($N$2:$N$209=V114)*($P$2:$P$209="Resale")*($S$2:$S$209&lt;&gt;""))),"")</f>
        <v/>
      </c>
      <c r="Y114" s="5">
        <f t="shared" si="12"/>
        <v>12.470997679814385</v>
      </c>
      <c r="Z114" s="5">
        <f t="shared" si="13"/>
        <v>0</v>
      </c>
      <c r="AA114" s="5" t="str" cm="1">
        <f t="array" ref="AA114">IF(Z114=0,"",MEDIAN(_xlfn._xlws.FILTER($Y$2:$Y$209,($M$2:$M$209=U114)*($N$2:$N$209=V114)*($P$2:$P$209="Long Term Rental")*($Y$2:$Y$209&lt;&gt;""),"")))</f>
        <v/>
      </c>
      <c r="AB114" s="5" t="str">
        <f t="shared" si="14"/>
        <v/>
      </c>
      <c r="AC114" s="5" t="str" cm="1">
        <f t="array" ref="AC114">IFERROR(MEDIAN(_xlfn._xlws.FILTER($Q$2:$Q$209,($M$2:$M$209=U114)*($P$2:$P$209="Short Term Rental")*($Q$2:$Q$209&lt;&gt;""))),"")</f>
        <v/>
      </c>
    </row>
    <row r="115" spans="1:29" ht="15" thickBot="1" x14ac:dyDescent="0.4">
      <c r="A115" s="1" t="s">
        <v>191</v>
      </c>
      <c r="B115" s="1" t="s">
        <v>192</v>
      </c>
      <c r="C115" s="1" t="s">
        <v>88</v>
      </c>
      <c r="D115" s="1" t="s">
        <v>15</v>
      </c>
      <c r="E115" s="1" t="s">
        <v>29</v>
      </c>
      <c r="F115" s="3">
        <v>1233</v>
      </c>
      <c r="G115" s="1" t="s">
        <v>30</v>
      </c>
      <c r="H115" s="3">
        <v>15900</v>
      </c>
      <c r="I115" s="1" t="s">
        <v>17</v>
      </c>
      <c r="J115" s="1" t="s">
        <v>57</v>
      </c>
      <c r="K115" s="1" t="s">
        <v>19</v>
      </c>
      <c r="L115" s="1"/>
      <c r="M115" s="5" t="str">
        <f>_xlfn.XLOOKUP(TRIM(C115),MAPPING!A:A,MAPPING!B:B,"CHECK")</f>
        <v>Kashele</v>
      </c>
      <c r="N115" s="5" t="str">
        <f>_xlfn.XLOOKUP(D115,MAPPING!G:G,MAPPING!H:H,"CHECK")</f>
        <v>Villa</v>
      </c>
      <c r="O115" s="5" t="str">
        <f>_xlfn.XLOOKUP(E115,MAPPING!J:J,MAPPING!K:K,"CHECK")</f>
        <v>4 BHK</v>
      </c>
      <c r="P115" s="5" t="str">
        <f>_xlfn.XLOOKUP(J115,MAPPING!M:M,MAPPING!N:N,"CHECK")</f>
        <v>Long Term Rental</v>
      </c>
      <c r="Q115" s="5">
        <f t="shared" si="8"/>
        <v>15900</v>
      </c>
      <c r="R115" s="5">
        <f t="shared" si="9"/>
        <v>1233</v>
      </c>
      <c r="S115" s="5" t="str">
        <f t="shared" si="10"/>
        <v/>
      </c>
      <c r="T115" s="5"/>
      <c r="U115" s="5"/>
      <c r="V115" s="5"/>
      <c r="W115" s="5">
        <f t="shared" si="11"/>
        <v>0</v>
      </c>
      <c r="X115" s="5" t="str" cm="1">
        <f t="array" ref="X115">IFERROR(MEDIAN(_xlfn._xlws.FILTER($S$2:$S$209,($M$2:$M$209=U115)*($N$2:$N$209=V115)*($P$2:$P$209="Resale")*($S$2:$S$209&lt;&gt;""))),"")</f>
        <v/>
      </c>
      <c r="Y115" s="5">
        <f t="shared" si="12"/>
        <v>12.895377128953772</v>
      </c>
      <c r="Z115" s="5">
        <f t="shared" si="13"/>
        <v>0</v>
      </c>
      <c r="AA115" s="5" t="str" cm="1">
        <f t="array" ref="AA115">IF(Z115=0,"",MEDIAN(_xlfn._xlws.FILTER($Y$2:$Y$209,($M$2:$M$209=U115)*($N$2:$N$209=V115)*($P$2:$P$209="Long Term Rental")*($Y$2:$Y$209&lt;&gt;""),"")))</f>
        <v/>
      </c>
      <c r="AB115" s="5" t="str">
        <f t="shared" si="14"/>
        <v/>
      </c>
      <c r="AC115" s="5" t="str" cm="1">
        <f t="array" ref="AC115">IFERROR(MEDIAN(_xlfn._xlws.FILTER($Q$2:$Q$209,($M$2:$M$209=U115)*($P$2:$P$209="Short Term Rental")*($Q$2:$Q$209&lt;&gt;""))),"")</f>
        <v/>
      </c>
    </row>
    <row r="116" spans="1:29" ht="15" thickBot="1" x14ac:dyDescent="0.4">
      <c r="A116" s="1" t="s">
        <v>96</v>
      </c>
      <c r="B116" s="1" t="s">
        <v>95</v>
      </c>
      <c r="C116" s="1" t="s">
        <v>88</v>
      </c>
      <c r="D116" s="1" t="s">
        <v>15</v>
      </c>
      <c r="E116" s="1" t="s">
        <v>71</v>
      </c>
      <c r="F116" s="3">
        <v>1265</v>
      </c>
      <c r="G116" s="1" t="s">
        <v>30</v>
      </c>
      <c r="H116" s="3">
        <v>15300</v>
      </c>
      <c r="I116" s="1" t="s">
        <v>17</v>
      </c>
      <c r="J116" s="1" t="s">
        <v>57</v>
      </c>
      <c r="K116" s="1" t="s">
        <v>19</v>
      </c>
      <c r="L116" s="1"/>
      <c r="M116" s="5" t="str">
        <f>_xlfn.XLOOKUP(TRIM(C116),MAPPING!A:A,MAPPING!B:B,"CHECK")</f>
        <v>Kashele</v>
      </c>
      <c r="N116" s="5" t="str">
        <f>_xlfn.XLOOKUP(D116,MAPPING!G:G,MAPPING!H:H,"CHECK")</f>
        <v>Villa</v>
      </c>
      <c r="O116" s="5" t="str">
        <f>_xlfn.XLOOKUP(E116,MAPPING!J:J,MAPPING!K:K,"CHECK")</f>
        <v>2 BHK</v>
      </c>
      <c r="P116" s="5" t="str">
        <f>_xlfn.XLOOKUP(J116,MAPPING!M:M,MAPPING!N:N,"CHECK")</f>
        <v>Long Term Rental</v>
      </c>
      <c r="Q116" s="5">
        <f t="shared" si="8"/>
        <v>15300</v>
      </c>
      <c r="R116" s="5">
        <f t="shared" si="9"/>
        <v>1265</v>
      </c>
      <c r="S116" s="5" t="str">
        <f t="shared" si="10"/>
        <v/>
      </c>
      <c r="T116" s="5"/>
      <c r="U116" s="5"/>
      <c r="V116" s="5"/>
      <c r="W116" s="5">
        <f t="shared" si="11"/>
        <v>0</v>
      </c>
      <c r="X116" s="5" t="str" cm="1">
        <f t="array" ref="X116">IFERROR(MEDIAN(_xlfn._xlws.FILTER($S$2:$S$209,($M$2:$M$209=U116)*($N$2:$N$209=V116)*($P$2:$P$209="Resale")*($S$2:$S$209&lt;&gt;""))),"")</f>
        <v/>
      </c>
      <c r="Y116" s="5">
        <f t="shared" si="12"/>
        <v>12.094861660079051</v>
      </c>
      <c r="Z116" s="5">
        <f t="shared" si="13"/>
        <v>0</v>
      </c>
      <c r="AA116" s="5" t="str" cm="1">
        <f t="array" ref="AA116">IF(Z116=0,"",MEDIAN(_xlfn._xlws.FILTER($Y$2:$Y$209,($M$2:$M$209=U116)*($N$2:$N$209=V116)*($P$2:$P$209="Long Term Rental")*($Y$2:$Y$209&lt;&gt;""),"")))</f>
        <v/>
      </c>
      <c r="AB116" s="5" t="str">
        <f t="shared" si="14"/>
        <v/>
      </c>
      <c r="AC116" s="5" t="str" cm="1">
        <f t="array" ref="AC116">IFERROR(MEDIAN(_xlfn._xlws.FILTER($Q$2:$Q$209,($M$2:$M$209=U116)*($P$2:$P$209="Short Term Rental")*($Q$2:$Q$209&lt;&gt;""))),"")</f>
        <v/>
      </c>
    </row>
    <row r="117" spans="1:29" ht="15" thickBot="1" x14ac:dyDescent="0.4">
      <c r="A117" s="1" t="s">
        <v>287</v>
      </c>
      <c r="B117" s="1" t="s">
        <v>95</v>
      </c>
      <c r="C117" s="1" t="s">
        <v>88</v>
      </c>
      <c r="D117" s="1" t="s">
        <v>15</v>
      </c>
      <c r="E117" s="1" t="s">
        <v>71</v>
      </c>
      <c r="F117" s="3">
        <v>2074</v>
      </c>
      <c r="G117" s="1" t="s">
        <v>30</v>
      </c>
      <c r="H117" s="3">
        <v>25900</v>
      </c>
      <c r="I117" s="1" t="s">
        <v>17</v>
      </c>
      <c r="J117" s="1" t="s">
        <v>57</v>
      </c>
      <c r="K117" s="1" t="s">
        <v>19</v>
      </c>
      <c r="L117" s="1"/>
      <c r="M117" s="5" t="str">
        <f>_xlfn.XLOOKUP(TRIM(C117),MAPPING!A:A,MAPPING!B:B,"CHECK")</f>
        <v>Kashele</v>
      </c>
      <c r="N117" s="5" t="str">
        <f>_xlfn.XLOOKUP(D117,MAPPING!G:G,MAPPING!H:H,"CHECK")</f>
        <v>Villa</v>
      </c>
      <c r="O117" s="5" t="str">
        <f>_xlfn.XLOOKUP(E117,MAPPING!J:J,MAPPING!K:K,"CHECK")</f>
        <v>2 BHK</v>
      </c>
      <c r="P117" s="5" t="str">
        <f>_xlfn.XLOOKUP(J117,MAPPING!M:M,MAPPING!N:N,"CHECK")</f>
        <v>Long Term Rental</v>
      </c>
      <c r="Q117" s="5">
        <f t="shared" si="8"/>
        <v>25900</v>
      </c>
      <c r="R117" s="5">
        <f t="shared" si="9"/>
        <v>2074</v>
      </c>
      <c r="S117" s="5" t="str">
        <f t="shared" si="10"/>
        <v/>
      </c>
      <c r="T117" s="5"/>
      <c r="U117" s="5"/>
      <c r="V117" s="5"/>
      <c r="W117" s="5">
        <f t="shared" si="11"/>
        <v>0</v>
      </c>
      <c r="X117" s="5" t="str" cm="1">
        <f t="array" ref="X117">IFERROR(MEDIAN(_xlfn._xlws.FILTER($S$2:$S$209,($M$2:$M$209=U117)*($N$2:$N$209=V117)*($P$2:$P$209="Resale")*($S$2:$S$209&lt;&gt;""))),"")</f>
        <v/>
      </c>
      <c r="Y117" s="5">
        <f t="shared" si="12"/>
        <v>12.487945998071361</v>
      </c>
      <c r="Z117" s="5">
        <f t="shared" si="13"/>
        <v>0</v>
      </c>
      <c r="AA117" s="5" t="str" cm="1">
        <f t="array" ref="AA117">IF(Z117=0,"",MEDIAN(_xlfn._xlws.FILTER($Y$2:$Y$209,($M$2:$M$209=U117)*($N$2:$N$209=V117)*($P$2:$P$209="Long Term Rental")*($Y$2:$Y$209&lt;&gt;""),"")))</f>
        <v/>
      </c>
      <c r="AB117" s="5" t="str">
        <f t="shared" si="14"/>
        <v/>
      </c>
      <c r="AC117" s="5" t="str" cm="1">
        <f t="array" ref="AC117">IFERROR(MEDIAN(_xlfn._xlws.FILTER($Q$2:$Q$209,($M$2:$M$209=U117)*($P$2:$P$209="Short Term Rental")*($Q$2:$Q$209&lt;&gt;""))),"")</f>
        <v/>
      </c>
    </row>
    <row r="118" spans="1:29" ht="15" thickBot="1" x14ac:dyDescent="0.4">
      <c r="A118" s="1" t="s">
        <v>281</v>
      </c>
      <c r="B118" s="2" t="s">
        <v>282</v>
      </c>
      <c r="C118" s="1" t="s">
        <v>51</v>
      </c>
      <c r="D118" s="2" t="s">
        <v>67</v>
      </c>
      <c r="E118" s="1" t="s">
        <v>48</v>
      </c>
      <c r="F118" s="3">
        <v>1229</v>
      </c>
      <c r="G118" s="1" t="s">
        <v>30</v>
      </c>
      <c r="H118" s="3">
        <v>14300</v>
      </c>
      <c r="I118" s="1" t="s">
        <v>17</v>
      </c>
      <c r="J118" s="1" t="s">
        <v>57</v>
      </c>
      <c r="K118" s="1" t="s">
        <v>19</v>
      </c>
      <c r="L118" s="1"/>
      <c r="M118" s="5" t="str">
        <f>_xlfn.XLOOKUP(TRIM(C118),MAPPING!A:A,MAPPING!B:B,"CHECK")</f>
        <v>Kashele</v>
      </c>
      <c r="N118" s="5" t="str">
        <f>_xlfn.XLOOKUP(D118,MAPPING!G:G,MAPPING!H:H,"CHECK")</f>
        <v>Villa</v>
      </c>
      <c r="O118" s="5" t="str">
        <f>_xlfn.XLOOKUP(E118,MAPPING!J:J,MAPPING!K:K,"CHECK")</f>
        <v>2 BHK</v>
      </c>
      <c r="P118" s="5" t="str">
        <f>_xlfn.XLOOKUP(J118,MAPPING!M:M,MAPPING!N:N,"CHECK")</f>
        <v>Long Term Rental</v>
      </c>
      <c r="Q118" s="5">
        <f t="shared" si="8"/>
        <v>14300</v>
      </c>
      <c r="R118" s="5">
        <f t="shared" si="9"/>
        <v>1229</v>
      </c>
      <c r="S118" s="5" t="str">
        <f t="shared" si="10"/>
        <v/>
      </c>
      <c r="T118" s="5"/>
      <c r="U118" s="5"/>
      <c r="V118" s="5"/>
      <c r="W118" s="5">
        <f t="shared" si="11"/>
        <v>0</v>
      </c>
      <c r="X118" s="5" t="str" cm="1">
        <f t="array" ref="X118">IFERROR(MEDIAN(_xlfn._xlws.FILTER($S$2:$S$209,($M$2:$M$209=U118)*($N$2:$N$209=V118)*($P$2:$P$209="Resale")*($S$2:$S$209&lt;&gt;""))),"")</f>
        <v/>
      </c>
      <c r="Y118" s="5">
        <f t="shared" si="12"/>
        <v>11.635475996745321</v>
      </c>
      <c r="Z118" s="5">
        <f t="shared" si="13"/>
        <v>0</v>
      </c>
      <c r="AA118" s="5" t="str" cm="1">
        <f t="array" ref="AA118">IF(Z118=0,"",MEDIAN(_xlfn._xlws.FILTER($Y$2:$Y$209,($M$2:$M$209=U118)*($N$2:$N$209=V118)*($P$2:$P$209="Long Term Rental")*($Y$2:$Y$209&lt;&gt;""),"")))</f>
        <v/>
      </c>
      <c r="AB118" s="5" t="str">
        <f t="shared" si="14"/>
        <v/>
      </c>
      <c r="AC118" s="5" t="str" cm="1">
        <f t="array" ref="AC118">IFERROR(MEDIAN(_xlfn._xlws.FILTER($Q$2:$Q$209,($M$2:$M$209=U118)*($P$2:$P$209="Short Term Rental")*($Q$2:$Q$209&lt;&gt;""))),"")</f>
        <v/>
      </c>
    </row>
    <row r="119" spans="1:29" ht="15" thickBot="1" x14ac:dyDescent="0.4">
      <c r="A119" s="1" t="s">
        <v>198</v>
      </c>
      <c r="B119" s="2" t="s">
        <v>199</v>
      </c>
      <c r="C119" s="1" t="s">
        <v>152</v>
      </c>
      <c r="D119" s="1" t="s">
        <v>15</v>
      </c>
      <c r="E119" s="1" t="s">
        <v>35</v>
      </c>
      <c r="F119" s="1"/>
      <c r="G119" s="1"/>
      <c r="H119" s="3">
        <v>4100</v>
      </c>
      <c r="I119" s="1" t="s">
        <v>17</v>
      </c>
      <c r="J119" s="1" t="s">
        <v>18</v>
      </c>
      <c r="K119" s="1" t="s">
        <v>19</v>
      </c>
      <c r="L119" s="1" t="s">
        <v>20</v>
      </c>
      <c r="M119" s="5" t="str">
        <f>_xlfn.XLOOKUP(TRIM(C119),MAPPING!A:A,MAPPING!B:B,"CHECK")</f>
        <v>Kashele</v>
      </c>
      <c r="N119" s="5" t="str">
        <f>_xlfn.XLOOKUP(D119,MAPPING!G:G,MAPPING!H:H,"CHECK")</f>
        <v>Villa</v>
      </c>
      <c r="O119" s="5" t="str">
        <f>_xlfn.XLOOKUP(E119,MAPPING!J:J,MAPPING!K:K,"CHECK")</f>
        <v>3 BHK</v>
      </c>
      <c r="P119" s="5" t="str">
        <f>_xlfn.XLOOKUP(J119,MAPPING!M:M,MAPPING!N:N,"CHECK")</f>
        <v>Short Term Rental</v>
      </c>
      <c r="Q119" s="5">
        <f t="shared" si="8"/>
        <v>4100</v>
      </c>
      <c r="R119" s="5" t="str">
        <f t="shared" si="9"/>
        <v/>
      </c>
      <c r="S119" s="5" t="str">
        <f t="shared" si="10"/>
        <v/>
      </c>
      <c r="T119" s="5"/>
      <c r="U119" s="5"/>
      <c r="V119" s="5"/>
      <c r="W119" s="5">
        <f t="shared" si="11"/>
        <v>0</v>
      </c>
      <c r="X119" s="5" t="str" cm="1">
        <f t="array" ref="X119">IFERROR(MEDIAN(_xlfn._xlws.FILTER($S$2:$S$209,($M$2:$M$209=U119)*($N$2:$N$209=V119)*($P$2:$P$209="Resale")*($S$2:$S$209&lt;&gt;""))),"")</f>
        <v/>
      </c>
      <c r="Y119" s="5" t="str">
        <f t="shared" si="12"/>
        <v/>
      </c>
      <c r="Z119" s="5">
        <f t="shared" si="13"/>
        <v>0</v>
      </c>
      <c r="AA119" s="5" t="str" cm="1">
        <f t="array" ref="AA119">IF(Z119=0,"",MEDIAN(_xlfn._xlws.FILTER($Y$2:$Y$209,($M$2:$M$209=U119)*($N$2:$N$209=V119)*($P$2:$P$209="Long Term Rental")*($Y$2:$Y$209&lt;&gt;""),"")))</f>
        <v/>
      </c>
      <c r="AB119" s="5" t="str">
        <f t="shared" si="14"/>
        <v/>
      </c>
      <c r="AC119" s="5" t="str" cm="1">
        <f t="array" ref="AC119">IFERROR(MEDIAN(_xlfn._xlws.FILTER($Q$2:$Q$209,($M$2:$M$209=U119)*($P$2:$P$209="Short Term Rental")*($Q$2:$Q$209&lt;&gt;""))),"")</f>
        <v/>
      </c>
    </row>
    <row r="120" spans="1:29" ht="15" thickBot="1" x14ac:dyDescent="0.4">
      <c r="A120" s="1" t="s">
        <v>430</v>
      </c>
      <c r="B120" s="1" t="s">
        <v>431</v>
      </c>
      <c r="C120" s="1" t="s">
        <v>33</v>
      </c>
      <c r="D120" s="1" t="s">
        <v>15</v>
      </c>
      <c r="E120" s="1" t="s">
        <v>16</v>
      </c>
      <c r="F120" s="1"/>
      <c r="G120" s="1"/>
      <c r="H120" s="3">
        <v>6100</v>
      </c>
      <c r="I120" s="1" t="s">
        <v>17</v>
      </c>
      <c r="J120" s="1" t="s">
        <v>18</v>
      </c>
      <c r="K120" s="1" t="s">
        <v>19</v>
      </c>
      <c r="L120" s="1" t="s">
        <v>20</v>
      </c>
      <c r="M120" s="5" t="str">
        <f>_xlfn.XLOOKUP(TRIM(C120),MAPPING!A:A,MAPPING!B:B,"CHECK")</f>
        <v>Kashele</v>
      </c>
      <c r="N120" s="5" t="str">
        <f>_xlfn.XLOOKUP(D120,MAPPING!G:G,MAPPING!H:H,"CHECK")</f>
        <v>Villa</v>
      </c>
      <c r="O120" s="5" t="str">
        <f>_xlfn.XLOOKUP(E120,MAPPING!J:J,MAPPING!K:K,"CHECK")</f>
        <v>3 BHK</v>
      </c>
      <c r="P120" s="5" t="str">
        <f>_xlfn.XLOOKUP(J120,MAPPING!M:M,MAPPING!N:N,"CHECK")</f>
        <v>Short Term Rental</v>
      </c>
      <c r="Q120" s="5">
        <f t="shared" si="8"/>
        <v>6100</v>
      </c>
      <c r="R120" s="5" t="str">
        <f t="shared" si="9"/>
        <v/>
      </c>
      <c r="S120" s="5" t="str">
        <f t="shared" si="10"/>
        <v/>
      </c>
      <c r="T120" s="5"/>
      <c r="U120" s="5"/>
      <c r="V120" s="5"/>
      <c r="W120" s="5">
        <f t="shared" si="11"/>
        <v>0</v>
      </c>
      <c r="X120" s="5" t="str" cm="1">
        <f t="array" ref="X120">IFERROR(MEDIAN(_xlfn._xlws.FILTER($S$2:$S$209,($M$2:$M$209=U120)*($N$2:$N$209=V120)*($P$2:$P$209="Resale")*($S$2:$S$209&lt;&gt;""))),"")</f>
        <v/>
      </c>
      <c r="Y120" s="5" t="str">
        <f t="shared" si="12"/>
        <v/>
      </c>
      <c r="Z120" s="5">
        <f t="shared" si="13"/>
        <v>0</v>
      </c>
      <c r="AA120" s="5" t="str" cm="1">
        <f t="array" ref="AA120">IF(Z120=0,"",MEDIAN(_xlfn._xlws.FILTER($Y$2:$Y$209,($M$2:$M$209=U120)*($N$2:$N$209=V120)*($P$2:$P$209="Long Term Rental")*($Y$2:$Y$209&lt;&gt;""),"")))</f>
        <v/>
      </c>
      <c r="AB120" s="5" t="str">
        <f t="shared" si="14"/>
        <v/>
      </c>
      <c r="AC120" s="5" t="str" cm="1">
        <f t="array" ref="AC120">IFERROR(MEDIAN(_xlfn._xlws.FILTER($Q$2:$Q$209,($M$2:$M$209=U120)*($P$2:$P$209="Short Term Rental")*($Q$2:$Q$209&lt;&gt;""))),"")</f>
        <v/>
      </c>
    </row>
    <row r="121" spans="1:29" ht="15" thickBot="1" x14ac:dyDescent="0.4">
      <c r="A121" s="1" t="s">
        <v>360</v>
      </c>
      <c r="B121" s="2" t="s">
        <v>361</v>
      </c>
      <c r="C121" s="1" t="s">
        <v>33</v>
      </c>
      <c r="D121" s="1" t="s">
        <v>15</v>
      </c>
      <c r="E121" s="1" t="s">
        <v>25</v>
      </c>
      <c r="F121" s="1"/>
      <c r="G121" s="1"/>
      <c r="H121" s="3">
        <v>4600</v>
      </c>
      <c r="I121" s="1" t="s">
        <v>17</v>
      </c>
      <c r="J121" s="1" t="s">
        <v>18</v>
      </c>
      <c r="K121" s="1" t="s">
        <v>19</v>
      </c>
      <c r="L121" s="1" t="s">
        <v>20</v>
      </c>
      <c r="M121" s="5" t="str">
        <f>_xlfn.XLOOKUP(TRIM(C121),MAPPING!A:A,MAPPING!B:B,"CHECK")</f>
        <v>Kashele</v>
      </c>
      <c r="N121" s="5" t="str">
        <f>_xlfn.XLOOKUP(D121,MAPPING!G:G,MAPPING!H:H,"CHECK")</f>
        <v>Villa</v>
      </c>
      <c r="O121" s="5" t="str">
        <f>_xlfn.XLOOKUP(E121,MAPPING!J:J,MAPPING!K:K,"CHECK")</f>
        <v>3 BHK</v>
      </c>
      <c r="P121" s="5" t="str">
        <f>_xlfn.XLOOKUP(J121,MAPPING!M:M,MAPPING!N:N,"CHECK")</f>
        <v>Short Term Rental</v>
      </c>
      <c r="Q121" s="5">
        <f t="shared" si="8"/>
        <v>4600</v>
      </c>
      <c r="R121" s="5" t="str">
        <f t="shared" si="9"/>
        <v/>
      </c>
      <c r="S121" s="5" t="str">
        <f t="shared" si="10"/>
        <v/>
      </c>
      <c r="T121" s="5"/>
      <c r="U121" s="5"/>
      <c r="V121" s="5"/>
      <c r="W121" s="5">
        <f t="shared" si="11"/>
        <v>0</v>
      </c>
      <c r="X121" s="5" t="str" cm="1">
        <f t="array" ref="X121">IFERROR(MEDIAN(_xlfn._xlws.FILTER($S$2:$S$209,($M$2:$M$209=U121)*($N$2:$N$209=V121)*($P$2:$P$209="Resale")*($S$2:$S$209&lt;&gt;""))),"")</f>
        <v/>
      </c>
      <c r="Y121" s="5" t="str">
        <f t="shared" si="12"/>
        <v/>
      </c>
      <c r="Z121" s="5">
        <f t="shared" si="13"/>
        <v>0</v>
      </c>
      <c r="AA121" s="5" t="str" cm="1">
        <f t="array" ref="AA121">IF(Z121=0,"",MEDIAN(_xlfn._xlws.FILTER($Y$2:$Y$209,($M$2:$M$209=U121)*($N$2:$N$209=V121)*($P$2:$P$209="Long Term Rental")*($Y$2:$Y$209&lt;&gt;""),"")))</f>
        <v/>
      </c>
      <c r="AB121" s="5" t="str">
        <f t="shared" si="14"/>
        <v/>
      </c>
      <c r="AC121" s="5" t="str" cm="1">
        <f t="array" ref="AC121">IFERROR(MEDIAN(_xlfn._xlws.FILTER($Q$2:$Q$209,($M$2:$M$209=U121)*($P$2:$P$209="Short Term Rental")*($Q$2:$Q$209&lt;&gt;""))),"")</f>
        <v/>
      </c>
    </row>
    <row r="122" spans="1:29" ht="15" thickBot="1" x14ac:dyDescent="0.4">
      <c r="A122" s="1" t="s">
        <v>438</v>
      </c>
      <c r="B122" s="2" t="s">
        <v>439</v>
      </c>
      <c r="C122" s="1" t="s">
        <v>51</v>
      </c>
      <c r="D122" s="1" t="s">
        <v>24</v>
      </c>
      <c r="E122" s="1" t="s">
        <v>25</v>
      </c>
      <c r="F122" s="1"/>
      <c r="G122" s="1"/>
      <c r="H122" s="3">
        <v>6900</v>
      </c>
      <c r="I122" s="1" t="s">
        <v>17</v>
      </c>
      <c r="J122" s="1" t="s">
        <v>18</v>
      </c>
      <c r="K122" s="1" t="s">
        <v>19</v>
      </c>
      <c r="L122" s="1" t="s">
        <v>20</v>
      </c>
      <c r="M122" s="5" t="str">
        <f>_xlfn.XLOOKUP(TRIM(C122),MAPPING!A:A,MAPPING!B:B,"CHECK")</f>
        <v>Kashele</v>
      </c>
      <c r="N122" s="5" t="str">
        <f>_xlfn.XLOOKUP(D122,MAPPING!G:G,MAPPING!H:H,"CHECK")</f>
        <v>Villa</v>
      </c>
      <c r="O122" s="5" t="str">
        <f>_xlfn.XLOOKUP(E122,MAPPING!J:J,MAPPING!K:K,"CHECK")</f>
        <v>3 BHK</v>
      </c>
      <c r="P122" s="5" t="str">
        <f>_xlfn.XLOOKUP(J122,MAPPING!M:M,MAPPING!N:N,"CHECK")</f>
        <v>Short Term Rental</v>
      </c>
      <c r="Q122" s="5">
        <f t="shared" si="8"/>
        <v>6900</v>
      </c>
      <c r="R122" s="5" t="str">
        <f t="shared" si="9"/>
        <v/>
      </c>
      <c r="S122" s="5" t="str">
        <f t="shared" si="10"/>
        <v/>
      </c>
      <c r="T122" s="5"/>
      <c r="U122" s="5"/>
      <c r="V122" s="5"/>
      <c r="W122" s="5">
        <f t="shared" si="11"/>
        <v>0</v>
      </c>
      <c r="X122" s="5" t="str" cm="1">
        <f t="array" ref="X122">IFERROR(MEDIAN(_xlfn._xlws.FILTER($S$2:$S$209,($M$2:$M$209=U122)*($N$2:$N$209=V122)*($P$2:$P$209="Resale")*($S$2:$S$209&lt;&gt;""))),"")</f>
        <v/>
      </c>
      <c r="Y122" s="5" t="str">
        <f t="shared" si="12"/>
        <v/>
      </c>
      <c r="Z122" s="5">
        <f t="shared" si="13"/>
        <v>0</v>
      </c>
      <c r="AA122" s="5" t="str" cm="1">
        <f t="array" ref="AA122">IF(Z122=0,"",MEDIAN(_xlfn._xlws.FILTER($Y$2:$Y$209,($M$2:$M$209=U122)*($N$2:$N$209=V122)*($P$2:$P$209="Long Term Rental")*($Y$2:$Y$209&lt;&gt;""),"")))</f>
        <v/>
      </c>
      <c r="AB122" s="5" t="str">
        <f t="shared" si="14"/>
        <v/>
      </c>
      <c r="AC122" s="5" t="str" cm="1">
        <f t="array" ref="AC122">IFERROR(MEDIAN(_xlfn._xlws.FILTER($Q$2:$Q$209,($M$2:$M$209=U122)*($P$2:$P$209="Short Term Rental")*($Q$2:$Q$209&lt;&gt;""))),"")</f>
        <v/>
      </c>
    </row>
    <row r="123" spans="1:29" ht="15" thickBot="1" x14ac:dyDescent="0.4">
      <c r="A123" s="1" t="s">
        <v>366</v>
      </c>
      <c r="B123" s="2" t="s">
        <v>367</v>
      </c>
      <c r="C123" s="1" t="s">
        <v>33</v>
      </c>
      <c r="D123" s="1" t="s">
        <v>24</v>
      </c>
      <c r="E123" s="1" t="s">
        <v>29</v>
      </c>
      <c r="F123" s="1"/>
      <c r="G123" s="1"/>
      <c r="H123" s="3">
        <v>3500</v>
      </c>
      <c r="I123" s="1" t="s">
        <v>17</v>
      </c>
      <c r="J123" s="1" t="s">
        <v>18</v>
      </c>
      <c r="K123" s="1" t="s">
        <v>19</v>
      </c>
      <c r="L123" s="1" t="s">
        <v>20</v>
      </c>
      <c r="M123" s="5" t="str">
        <f>_xlfn.XLOOKUP(TRIM(C123),MAPPING!A:A,MAPPING!B:B,"CHECK")</f>
        <v>Kashele</v>
      </c>
      <c r="N123" s="5" t="str">
        <f>_xlfn.XLOOKUP(D123,MAPPING!G:G,MAPPING!H:H,"CHECK")</f>
        <v>Villa</v>
      </c>
      <c r="O123" s="5" t="str">
        <f>_xlfn.XLOOKUP(E123,MAPPING!J:J,MAPPING!K:K,"CHECK")</f>
        <v>4 BHK</v>
      </c>
      <c r="P123" s="5" t="str">
        <f>_xlfn.XLOOKUP(J123,MAPPING!M:M,MAPPING!N:N,"CHECK")</f>
        <v>Short Term Rental</v>
      </c>
      <c r="Q123" s="5">
        <f t="shared" si="8"/>
        <v>3500</v>
      </c>
      <c r="R123" s="5" t="str">
        <f t="shared" si="9"/>
        <v/>
      </c>
      <c r="S123" s="5" t="str">
        <f t="shared" si="10"/>
        <v/>
      </c>
      <c r="T123" s="5"/>
      <c r="U123" s="5"/>
      <c r="V123" s="5"/>
      <c r="W123" s="5">
        <f t="shared" si="11"/>
        <v>0</v>
      </c>
      <c r="X123" s="5" t="str" cm="1">
        <f t="array" ref="X123">IFERROR(MEDIAN(_xlfn._xlws.FILTER($S$2:$S$209,($M$2:$M$209=U123)*($N$2:$N$209=V123)*($P$2:$P$209="Resale")*($S$2:$S$209&lt;&gt;""))),"")</f>
        <v/>
      </c>
      <c r="Y123" s="5" t="str">
        <f t="shared" si="12"/>
        <v/>
      </c>
      <c r="Z123" s="5">
        <f t="shared" si="13"/>
        <v>0</v>
      </c>
      <c r="AA123" s="5" t="str" cm="1">
        <f t="array" ref="AA123">IF(Z123=0,"",MEDIAN(_xlfn._xlws.FILTER($Y$2:$Y$209,($M$2:$M$209=U123)*($N$2:$N$209=V123)*($P$2:$P$209="Long Term Rental")*($Y$2:$Y$209&lt;&gt;""),"")))</f>
        <v/>
      </c>
      <c r="AB123" s="5" t="str">
        <f t="shared" si="14"/>
        <v/>
      </c>
      <c r="AC123" s="5" t="str" cm="1">
        <f t="array" ref="AC123">IFERROR(MEDIAN(_xlfn._xlws.FILTER($Q$2:$Q$209,($M$2:$M$209=U123)*($P$2:$P$209="Short Term Rental")*($Q$2:$Q$209&lt;&gt;""))),"")</f>
        <v/>
      </c>
    </row>
    <row r="124" spans="1:29" ht="15" thickBot="1" x14ac:dyDescent="0.4">
      <c r="A124" s="1" t="s">
        <v>424</v>
      </c>
      <c r="B124" s="2" t="s">
        <v>425</v>
      </c>
      <c r="C124" s="1" t="s">
        <v>51</v>
      </c>
      <c r="D124" s="1" t="s">
        <v>15</v>
      </c>
      <c r="E124" s="1" t="s">
        <v>25</v>
      </c>
      <c r="F124" s="1"/>
      <c r="G124" s="1"/>
      <c r="H124" s="3">
        <v>7200</v>
      </c>
      <c r="I124" s="1" t="s">
        <v>17</v>
      </c>
      <c r="J124" s="1" t="s">
        <v>18</v>
      </c>
      <c r="K124" s="1" t="s">
        <v>19</v>
      </c>
      <c r="L124" s="1" t="s">
        <v>20</v>
      </c>
      <c r="M124" s="5" t="str">
        <f>_xlfn.XLOOKUP(TRIM(C124),MAPPING!A:A,MAPPING!B:B,"CHECK")</f>
        <v>Kashele</v>
      </c>
      <c r="N124" s="5" t="str">
        <f>_xlfn.XLOOKUP(D124,MAPPING!G:G,MAPPING!H:H,"CHECK")</f>
        <v>Villa</v>
      </c>
      <c r="O124" s="5" t="str">
        <f>_xlfn.XLOOKUP(E124,MAPPING!J:J,MAPPING!K:K,"CHECK")</f>
        <v>3 BHK</v>
      </c>
      <c r="P124" s="5" t="str">
        <f>_xlfn.XLOOKUP(J124,MAPPING!M:M,MAPPING!N:N,"CHECK")</f>
        <v>Short Term Rental</v>
      </c>
      <c r="Q124" s="5">
        <f t="shared" si="8"/>
        <v>7200</v>
      </c>
      <c r="R124" s="5" t="str">
        <f t="shared" si="9"/>
        <v/>
      </c>
      <c r="S124" s="5" t="str">
        <f t="shared" si="10"/>
        <v/>
      </c>
      <c r="T124" s="5"/>
      <c r="U124" s="5"/>
      <c r="V124" s="5"/>
      <c r="W124" s="5">
        <f t="shared" si="11"/>
        <v>0</v>
      </c>
      <c r="X124" s="5" t="str" cm="1">
        <f t="array" ref="X124">IFERROR(MEDIAN(_xlfn._xlws.FILTER($S$2:$S$209,($M$2:$M$209=U124)*($N$2:$N$209=V124)*($P$2:$P$209="Resale")*($S$2:$S$209&lt;&gt;""))),"")</f>
        <v/>
      </c>
      <c r="Y124" s="5" t="str">
        <f t="shared" si="12"/>
        <v/>
      </c>
      <c r="Z124" s="5">
        <f t="shared" si="13"/>
        <v>0</v>
      </c>
      <c r="AA124" s="5" t="str" cm="1">
        <f t="array" ref="AA124">IF(Z124=0,"",MEDIAN(_xlfn._xlws.FILTER($Y$2:$Y$209,($M$2:$M$209=U124)*($N$2:$N$209=V124)*($P$2:$P$209="Long Term Rental")*($Y$2:$Y$209&lt;&gt;""),"")))</f>
        <v/>
      </c>
      <c r="AB124" s="5" t="str">
        <f t="shared" si="14"/>
        <v/>
      </c>
      <c r="AC124" s="5" t="str" cm="1">
        <f t="array" ref="AC124">IFERROR(MEDIAN(_xlfn._xlws.FILTER($Q$2:$Q$209,($M$2:$M$209=U124)*($P$2:$P$209="Short Term Rental")*($Q$2:$Q$209&lt;&gt;""))),"")</f>
        <v/>
      </c>
    </row>
    <row r="125" spans="1:29" ht="15" thickBot="1" x14ac:dyDescent="0.4">
      <c r="A125" s="1" t="s">
        <v>146</v>
      </c>
      <c r="B125" s="2" t="s">
        <v>147</v>
      </c>
      <c r="C125" s="1" t="s">
        <v>51</v>
      </c>
      <c r="D125" s="1" t="s">
        <v>24</v>
      </c>
      <c r="E125" s="1" t="s">
        <v>16</v>
      </c>
      <c r="F125" s="1"/>
      <c r="G125" s="1"/>
      <c r="H125" s="3">
        <v>4700</v>
      </c>
      <c r="I125" s="1" t="s">
        <v>17</v>
      </c>
      <c r="J125" s="1" t="s">
        <v>18</v>
      </c>
      <c r="K125" s="1" t="s">
        <v>19</v>
      </c>
      <c r="L125" s="1" t="s">
        <v>20</v>
      </c>
      <c r="M125" s="5" t="str">
        <f>_xlfn.XLOOKUP(TRIM(C125),MAPPING!A:A,MAPPING!B:B,"CHECK")</f>
        <v>Kashele</v>
      </c>
      <c r="N125" s="5" t="str">
        <f>_xlfn.XLOOKUP(D125,MAPPING!G:G,MAPPING!H:H,"CHECK")</f>
        <v>Villa</v>
      </c>
      <c r="O125" s="5" t="str">
        <f>_xlfn.XLOOKUP(E125,MAPPING!J:J,MAPPING!K:K,"CHECK")</f>
        <v>3 BHK</v>
      </c>
      <c r="P125" s="5" t="str">
        <f>_xlfn.XLOOKUP(J125,MAPPING!M:M,MAPPING!N:N,"CHECK")</f>
        <v>Short Term Rental</v>
      </c>
      <c r="Q125" s="5">
        <f t="shared" si="8"/>
        <v>4700</v>
      </c>
      <c r="R125" s="5" t="str">
        <f t="shared" si="9"/>
        <v/>
      </c>
      <c r="S125" s="5" t="str">
        <f t="shared" si="10"/>
        <v/>
      </c>
      <c r="T125" s="5"/>
      <c r="U125" s="5"/>
      <c r="V125" s="5"/>
      <c r="W125" s="5">
        <f t="shared" si="11"/>
        <v>0</v>
      </c>
      <c r="X125" s="5" t="str" cm="1">
        <f t="array" ref="X125">IFERROR(MEDIAN(_xlfn._xlws.FILTER($S$2:$S$209,($M$2:$M$209=U125)*($N$2:$N$209=V125)*($P$2:$P$209="Resale")*($S$2:$S$209&lt;&gt;""))),"")</f>
        <v/>
      </c>
      <c r="Y125" s="5" t="str">
        <f t="shared" si="12"/>
        <v/>
      </c>
      <c r="Z125" s="5">
        <f t="shared" si="13"/>
        <v>0</v>
      </c>
      <c r="AA125" s="5" t="str" cm="1">
        <f t="array" ref="AA125">IF(Z125=0,"",MEDIAN(_xlfn._xlws.FILTER($Y$2:$Y$209,($M$2:$M$209=U125)*($N$2:$N$209=V125)*($P$2:$P$209="Long Term Rental")*($Y$2:$Y$209&lt;&gt;""),"")))</f>
        <v/>
      </c>
      <c r="AB125" s="5" t="str">
        <f t="shared" si="14"/>
        <v/>
      </c>
      <c r="AC125" s="5" t="str" cm="1">
        <f t="array" ref="AC125">IFERROR(MEDIAN(_xlfn._xlws.FILTER($Q$2:$Q$209,($M$2:$M$209=U125)*($P$2:$P$209="Short Term Rental")*($Q$2:$Q$209&lt;&gt;""))),"")</f>
        <v/>
      </c>
    </row>
    <row r="126" spans="1:29" ht="15" thickBot="1" x14ac:dyDescent="0.4">
      <c r="A126" s="1" t="s">
        <v>214</v>
      </c>
      <c r="B126" s="2" t="s">
        <v>215</v>
      </c>
      <c r="C126" s="1" t="s">
        <v>33</v>
      </c>
      <c r="D126" s="1" t="s">
        <v>15</v>
      </c>
      <c r="E126" s="1" t="s">
        <v>52</v>
      </c>
      <c r="F126" s="1"/>
      <c r="G126" s="1"/>
      <c r="H126" s="3">
        <v>3600</v>
      </c>
      <c r="I126" s="1" t="s">
        <v>17</v>
      </c>
      <c r="J126" s="1" t="s">
        <v>18</v>
      </c>
      <c r="K126" s="1" t="s">
        <v>19</v>
      </c>
      <c r="L126" s="1" t="s">
        <v>20</v>
      </c>
      <c r="M126" s="5" t="str">
        <f>_xlfn.XLOOKUP(TRIM(C126),MAPPING!A:A,MAPPING!B:B,"CHECK")</f>
        <v>Kashele</v>
      </c>
      <c r="N126" s="5" t="str">
        <f>_xlfn.XLOOKUP(D126,MAPPING!G:G,MAPPING!H:H,"CHECK")</f>
        <v>Villa</v>
      </c>
      <c r="O126" s="5" t="str">
        <f>_xlfn.XLOOKUP(E126,MAPPING!J:J,MAPPING!K:K,"CHECK")</f>
        <v>2 BHK</v>
      </c>
      <c r="P126" s="5" t="str">
        <f>_xlfn.XLOOKUP(J126,MAPPING!M:M,MAPPING!N:N,"CHECK")</f>
        <v>Short Term Rental</v>
      </c>
      <c r="Q126" s="5">
        <f t="shared" si="8"/>
        <v>3600</v>
      </c>
      <c r="R126" s="5" t="str">
        <f t="shared" si="9"/>
        <v/>
      </c>
      <c r="S126" s="5" t="str">
        <f t="shared" si="10"/>
        <v/>
      </c>
      <c r="T126" s="5"/>
      <c r="U126" s="5"/>
      <c r="V126" s="5"/>
      <c r="W126" s="5">
        <f t="shared" si="11"/>
        <v>0</v>
      </c>
      <c r="X126" s="5" t="str" cm="1">
        <f t="array" ref="X126">IFERROR(MEDIAN(_xlfn._xlws.FILTER($S$2:$S$209,($M$2:$M$209=U126)*($N$2:$N$209=V126)*($P$2:$P$209="Resale")*($S$2:$S$209&lt;&gt;""))),"")</f>
        <v/>
      </c>
      <c r="Y126" s="5" t="str">
        <f t="shared" si="12"/>
        <v/>
      </c>
      <c r="Z126" s="5">
        <f t="shared" si="13"/>
        <v>0</v>
      </c>
      <c r="AA126" s="5" t="str" cm="1">
        <f t="array" ref="AA126">IF(Z126=0,"",MEDIAN(_xlfn._xlws.FILTER($Y$2:$Y$209,($M$2:$M$209=U126)*($N$2:$N$209=V126)*($P$2:$P$209="Long Term Rental")*($Y$2:$Y$209&lt;&gt;""),"")))</f>
        <v/>
      </c>
      <c r="AB126" s="5" t="str">
        <f t="shared" si="14"/>
        <v/>
      </c>
      <c r="AC126" s="5" t="str" cm="1">
        <f t="array" ref="AC126">IFERROR(MEDIAN(_xlfn._xlws.FILTER($Q$2:$Q$209,($M$2:$M$209=U126)*($P$2:$P$209="Short Term Rental")*($Q$2:$Q$209&lt;&gt;""))),"")</f>
        <v/>
      </c>
    </row>
    <row r="127" spans="1:29" ht="15" thickBot="1" x14ac:dyDescent="0.4">
      <c r="A127" s="1" t="s">
        <v>127</v>
      </c>
      <c r="B127" s="2" t="s">
        <v>128</v>
      </c>
      <c r="C127" s="1" t="s">
        <v>51</v>
      </c>
      <c r="D127" s="1" t="s">
        <v>15</v>
      </c>
      <c r="E127" s="1" t="s">
        <v>48</v>
      </c>
      <c r="F127" s="1"/>
      <c r="G127" s="1"/>
      <c r="H127" s="3">
        <v>5200</v>
      </c>
      <c r="I127" s="1" t="s">
        <v>17</v>
      </c>
      <c r="J127" s="1" t="s">
        <v>18</v>
      </c>
      <c r="K127" s="1" t="s">
        <v>19</v>
      </c>
      <c r="L127" s="1" t="s">
        <v>20</v>
      </c>
      <c r="M127" s="5" t="str">
        <f>_xlfn.XLOOKUP(TRIM(C127),MAPPING!A:A,MAPPING!B:B,"CHECK")</f>
        <v>Kashele</v>
      </c>
      <c r="N127" s="5" t="str">
        <f>_xlfn.XLOOKUP(D127,MAPPING!G:G,MAPPING!H:H,"CHECK")</f>
        <v>Villa</v>
      </c>
      <c r="O127" s="5" t="str">
        <f>_xlfn.XLOOKUP(E127,MAPPING!J:J,MAPPING!K:K,"CHECK")</f>
        <v>2 BHK</v>
      </c>
      <c r="P127" s="5" t="str">
        <f>_xlfn.XLOOKUP(J127,MAPPING!M:M,MAPPING!N:N,"CHECK")</f>
        <v>Short Term Rental</v>
      </c>
      <c r="Q127" s="5">
        <f t="shared" si="8"/>
        <v>5200</v>
      </c>
      <c r="R127" s="5" t="str">
        <f t="shared" si="9"/>
        <v/>
      </c>
      <c r="S127" s="5" t="str">
        <f t="shared" si="10"/>
        <v/>
      </c>
      <c r="T127" s="5"/>
      <c r="U127" s="5"/>
      <c r="V127" s="5"/>
      <c r="W127" s="5">
        <f t="shared" si="11"/>
        <v>0</v>
      </c>
      <c r="X127" s="5" t="str" cm="1">
        <f t="array" ref="X127">IFERROR(MEDIAN(_xlfn._xlws.FILTER($S$2:$S$209,($M$2:$M$209=U127)*($N$2:$N$209=V127)*($P$2:$P$209="Resale")*($S$2:$S$209&lt;&gt;""))),"")</f>
        <v/>
      </c>
      <c r="Y127" s="5" t="str">
        <f t="shared" si="12"/>
        <v/>
      </c>
      <c r="Z127" s="5">
        <f t="shared" si="13"/>
        <v>0</v>
      </c>
      <c r="AA127" s="5" t="str" cm="1">
        <f t="array" ref="AA127">IF(Z127=0,"",MEDIAN(_xlfn._xlws.FILTER($Y$2:$Y$209,($M$2:$M$209=U127)*($N$2:$N$209=V127)*($P$2:$P$209="Long Term Rental")*($Y$2:$Y$209&lt;&gt;""),"")))</f>
        <v/>
      </c>
      <c r="AB127" s="5" t="str">
        <f t="shared" si="14"/>
        <v/>
      </c>
      <c r="AC127" s="5" t="str" cm="1">
        <f t="array" ref="AC127">IFERROR(MEDIAN(_xlfn._xlws.FILTER($Q$2:$Q$209,($M$2:$M$209=U127)*($P$2:$P$209="Short Term Rental")*($Q$2:$Q$209&lt;&gt;""))),"")</f>
        <v/>
      </c>
    </row>
    <row r="128" spans="1:29" ht="15" thickBot="1" x14ac:dyDescent="0.4">
      <c r="A128" s="1" t="s">
        <v>129</v>
      </c>
      <c r="B128" s="1" t="s">
        <v>130</v>
      </c>
      <c r="C128" s="1" t="s">
        <v>77</v>
      </c>
      <c r="D128" s="1" t="s">
        <v>131</v>
      </c>
      <c r="E128" s="1" t="s">
        <v>42</v>
      </c>
      <c r="F128" s="3">
        <v>7799</v>
      </c>
      <c r="G128" s="1" t="s">
        <v>30</v>
      </c>
      <c r="H128" s="3">
        <v>62.55</v>
      </c>
      <c r="I128" s="1" t="s">
        <v>36</v>
      </c>
      <c r="J128" s="1" t="s">
        <v>37</v>
      </c>
      <c r="K128" s="1" t="s">
        <v>124</v>
      </c>
      <c r="L128" s="1"/>
      <c r="M128" s="5" t="str">
        <f>_xlfn.XLOOKUP(TRIM(C128),MAPPING!A:A,MAPPING!B:B,"CHECK")</f>
        <v>Kondhwal Valley</v>
      </c>
      <c r="N128" s="5" t="str">
        <f>_xlfn.XLOOKUP(D128,MAPPING!G:G,MAPPING!H:H,"CHECK")</f>
        <v>Plot</v>
      </c>
      <c r="O128" s="5" t="str">
        <f>_xlfn.XLOOKUP(E128,MAPPING!J:J,MAPPING!K:K,"CHECK")</f>
        <v>NA</v>
      </c>
      <c r="P128" s="5" t="str">
        <f>_xlfn.XLOOKUP(J128,MAPPING!M:M,MAPPING!N:N,"CHECK")</f>
        <v>Resale</v>
      </c>
      <c r="Q128" s="5">
        <f t="shared" si="8"/>
        <v>6255000</v>
      </c>
      <c r="R128" s="5">
        <f t="shared" si="9"/>
        <v>7799</v>
      </c>
      <c r="S128" s="5">
        <f t="shared" si="10"/>
        <v>802.02590075650721</v>
      </c>
      <c r="T128" s="5"/>
      <c r="U128" s="5"/>
      <c r="V128" s="5"/>
      <c r="W128" s="5">
        <f t="shared" si="11"/>
        <v>0</v>
      </c>
      <c r="X128" s="5" t="str" cm="1">
        <f t="array" ref="X128">IFERROR(MEDIAN(_xlfn._xlws.FILTER($S$2:$S$209,($M$2:$M$209=U128)*($N$2:$N$209=V128)*($P$2:$P$209="Resale")*($S$2:$S$209&lt;&gt;""))),"")</f>
        <v/>
      </c>
      <c r="Y128" s="5" t="str">
        <f t="shared" si="12"/>
        <v/>
      </c>
      <c r="Z128" s="5">
        <f t="shared" si="13"/>
        <v>0</v>
      </c>
      <c r="AA128" s="5" t="str" cm="1">
        <f t="array" ref="AA128">IF(Z128=0,"",MEDIAN(_xlfn._xlws.FILTER($Y$2:$Y$209,($M$2:$M$209=U128)*($N$2:$N$209=V128)*($P$2:$P$209="Long Term Rental")*($Y$2:$Y$209&lt;&gt;""),"")))</f>
        <v/>
      </c>
      <c r="AB128" s="5" t="str">
        <f t="shared" si="14"/>
        <v/>
      </c>
      <c r="AC128" s="5" t="str" cm="1">
        <f t="array" ref="AC128">IFERROR(MEDIAN(_xlfn._xlws.FILTER($Q$2:$Q$209,($M$2:$M$209=U128)*($P$2:$P$209="Short Term Rental")*($Q$2:$Q$209&lt;&gt;""))),"")</f>
        <v/>
      </c>
    </row>
    <row r="129" spans="1:29" ht="15" thickBot="1" x14ac:dyDescent="0.4">
      <c r="A129" s="1" t="s">
        <v>384</v>
      </c>
      <c r="B129" s="1" t="s">
        <v>385</v>
      </c>
      <c r="C129" s="1" t="s">
        <v>77</v>
      </c>
      <c r="D129" s="1" t="s">
        <v>41</v>
      </c>
      <c r="E129" s="1" t="s">
        <v>42</v>
      </c>
      <c r="F129" s="3">
        <v>2.3199999999999998</v>
      </c>
      <c r="G129" s="1" t="s">
        <v>85</v>
      </c>
      <c r="H129" s="3">
        <v>8.16</v>
      </c>
      <c r="I129" s="1" t="s">
        <v>64</v>
      </c>
      <c r="J129" s="1" t="s">
        <v>37</v>
      </c>
      <c r="K129" s="1" t="s">
        <v>124</v>
      </c>
      <c r="L129" s="1"/>
      <c r="M129" s="5" t="str">
        <f>_xlfn.XLOOKUP(TRIM(C129),MAPPING!A:A,MAPPING!B:B,"CHECK")</f>
        <v>Kondhwal Valley</v>
      </c>
      <c r="N129" s="5" t="str">
        <f>_xlfn.XLOOKUP(D129,MAPPING!G:G,MAPPING!H:H,"CHECK")</f>
        <v>Plot</v>
      </c>
      <c r="O129" s="5" t="str">
        <f>_xlfn.XLOOKUP(E129,MAPPING!J:J,MAPPING!K:K,"CHECK")</f>
        <v>NA</v>
      </c>
      <c r="P129" s="5" t="str">
        <f>_xlfn.XLOOKUP(J129,MAPPING!M:M,MAPPING!N:N,"CHECK")</f>
        <v>Resale</v>
      </c>
      <c r="Q129" s="5">
        <f t="shared" si="8"/>
        <v>81600000</v>
      </c>
      <c r="R129" s="5">
        <f t="shared" si="9"/>
        <v>101059.2</v>
      </c>
      <c r="S129" s="5">
        <f t="shared" si="10"/>
        <v>807.44751591146576</v>
      </c>
      <c r="T129" s="5"/>
      <c r="U129" s="5"/>
      <c r="V129" s="5"/>
      <c r="W129" s="5">
        <f t="shared" si="11"/>
        <v>0</v>
      </c>
      <c r="X129" s="5" t="str" cm="1">
        <f t="array" ref="X129">IF(W129=0,"",MEDIANIFS($S$2:$S$209,$M$2:$M$209,U129,$N$2:$N$209,V129,$P$2:$P$209,"Resale"))</f>
        <v/>
      </c>
      <c r="Y129" s="5" t="str">
        <f t="shared" si="12"/>
        <v/>
      </c>
      <c r="Z129" s="5">
        <f t="shared" si="13"/>
        <v>0</v>
      </c>
      <c r="AA129" s="5" t="str" cm="1">
        <f t="array" ref="AA129">IF(Z129=0,"",MEDIAN(_xlfn._xlws.FILTER($Y$2:$Y$209,($M$2:$M$209=U129)*($N$2:$N$209=V129)*($P$2:$P$209="Long Term Rental")*($Y$2:$Y$209&lt;&gt;""),"")))</f>
        <v/>
      </c>
      <c r="AB129" s="5" t="str">
        <f t="shared" si="14"/>
        <v/>
      </c>
      <c r="AC129" s="5" t="str" cm="1">
        <f t="array" ref="AC129">IFERROR(MEDIAN(_xlfn._xlws.FILTER($Q$2:$Q$209,($M$2:$M$209=U129)*($P$2:$P$209="Short Term Rental")*($Q$2:$Q$209&lt;&gt;""))),"")</f>
        <v/>
      </c>
    </row>
    <row r="130" spans="1:29" ht="15" thickBot="1" x14ac:dyDescent="0.4">
      <c r="A130" s="1" t="s">
        <v>230</v>
      </c>
      <c r="B130" s="1" t="s">
        <v>231</v>
      </c>
      <c r="C130" s="1" t="s">
        <v>77</v>
      </c>
      <c r="D130" s="1" t="s">
        <v>117</v>
      </c>
      <c r="E130" s="1" t="s">
        <v>42</v>
      </c>
      <c r="F130" s="3">
        <v>1.64</v>
      </c>
      <c r="G130" s="1" t="s">
        <v>85</v>
      </c>
      <c r="H130" s="3">
        <v>91.59</v>
      </c>
      <c r="I130" s="1" t="s">
        <v>36</v>
      </c>
      <c r="J130" s="1" t="s">
        <v>37</v>
      </c>
      <c r="K130" s="1" t="s">
        <v>124</v>
      </c>
      <c r="L130" s="1"/>
      <c r="M130" s="5" t="str">
        <f>_xlfn.XLOOKUP(TRIM(C130),MAPPING!A:A,MAPPING!B:B,"CHECK")</f>
        <v>Kondhwal Valley</v>
      </c>
      <c r="N130" s="5" t="str">
        <f>_xlfn.XLOOKUP(D130,MAPPING!G:G,MAPPING!H:H,"CHECK")</f>
        <v>Farmland</v>
      </c>
      <c r="O130" s="5" t="str">
        <f>_xlfn.XLOOKUP(E130,MAPPING!J:J,MAPPING!K:K,"CHECK")</f>
        <v>NA</v>
      </c>
      <c r="P130" s="5" t="str">
        <f>_xlfn.XLOOKUP(J130,MAPPING!M:M,MAPPING!N:N,"CHECK")</f>
        <v>Resale</v>
      </c>
      <c r="Q130" s="5">
        <f t="shared" ref="Q130:Q193" si="15">IF(I130="INR",H130,IF(I130="Lakh",H130*100000,IF(I130="Crore",H130*10000000,IF(I130="Thousand",H130*1000,""))))</f>
        <v>9159000</v>
      </c>
      <c r="R130" s="5">
        <f t="shared" ref="R130:R193" si="16">IF(G130="sqft",F130,IF(G130="sqyd",F130*9,IF(G130="acre",F130*43560,IF(G130="guntha",F130*1089,IF(G130="hectare",F130*107639.1,"")))))</f>
        <v>71438.399999999994</v>
      </c>
      <c r="S130" s="5">
        <f t="shared" ref="S130:S193" si="17">IF(AND(P130="Resale",R130&gt;0),Q130/R130,"")</f>
        <v>128.2083585298663</v>
      </c>
      <c r="T130" s="5"/>
      <c r="U130" s="5"/>
      <c r="V130" s="5"/>
      <c r="W130" s="5">
        <f t="shared" ref="W130:W193" si="18">COUNTIFS($M$2:$M$209,U130,$N$2:$N$209,V130,$P$2:$P$209,"Resale")</f>
        <v>0</v>
      </c>
      <c r="X130" s="5" t="str" cm="1">
        <f t="array" ref="X130">IF(W130=0,"",MEDIANIFS($S$2:$S$209,$M$2:$M$209,U130,$N$2:$N$209,V130,$P$2:$P$209,"Resale"))</f>
        <v/>
      </c>
      <c r="Y130" s="5" t="str">
        <f t="shared" ref="Y130:Y193" si="19">IF(AND(P130="Long Term Rental",R130&gt;0),Q130/R130,"")</f>
        <v/>
      </c>
      <c r="Z130" s="5">
        <f t="shared" ref="Z130:Z193" si="20">COUNTIFS($M$2:$M$209,U130,$P$2:$P$209,"Long Term Rental")</f>
        <v>0</v>
      </c>
      <c r="AA130" s="5" t="str" cm="1">
        <f t="array" ref="AA130">IF(Z130=0,"",MEDIAN(_xlfn._xlws.FILTER($Y$2:$Y$209,($M$2:$M$209=U130)*($N$2:$N$209=V130)*($P$2:$P$209="Long Term Rental")*($Y$2:$Y$209&lt;&gt;""),"")))</f>
        <v/>
      </c>
      <c r="AB130" s="5" t="str">
        <f t="shared" ref="AB130:AB193" si="21">IF(AND(V130="Villa",X130&lt;&gt;"",AA130&lt;&gt;""),(AA130*12/X130)*100,"")</f>
        <v/>
      </c>
      <c r="AC130" s="5" t="str" cm="1">
        <f t="array" ref="AC130">IFERROR(MEDIAN(_xlfn._xlws.FILTER($Q$2:$Q$209,($M$2:$M$209=U130)*($P$2:$P$209="Short Term Rental")*($Q$2:$Q$209&lt;&gt;""))),"")</f>
        <v/>
      </c>
    </row>
    <row r="131" spans="1:29" ht="15" thickBot="1" x14ac:dyDescent="0.4">
      <c r="A131" s="1" t="s">
        <v>428</v>
      </c>
      <c r="B131" s="1" t="s">
        <v>429</v>
      </c>
      <c r="C131" s="1" t="s">
        <v>77</v>
      </c>
      <c r="D131" s="1" t="s">
        <v>24</v>
      </c>
      <c r="E131" s="1" t="s">
        <v>48</v>
      </c>
      <c r="F131" s="3">
        <v>1946</v>
      </c>
      <c r="G131" s="1" t="s">
        <v>30</v>
      </c>
      <c r="H131" s="3">
        <v>61.58</v>
      </c>
      <c r="I131" s="1" t="s">
        <v>36</v>
      </c>
      <c r="J131" s="1" t="s">
        <v>37</v>
      </c>
      <c r="K131" s="1" t="s">
        <v>19</v>
      </c>
      <c r="L131" s="1"/>
      <c r="M131" s="5" t="str">
        <f>_xlfn.XLOOKUP(TRIM(C131),MAPPING!A:A,MAPPING!B:B,"CHECK")</f>
        <v>Kondhwal Valley</v>
      </c>
      <c r="N131" s="5" t="str">
        <f>_xlfn.XLOOKUP(D131,MAPPING!G:G,MAPPING!H:H,"CHECK")</f>
        <v>Villa</v>
      </c>
      <c r="O131" s="5" t="str">
        <f>_xlfn.XLOOKUP(E131,MAPPING!J:J,MAPPING!K:K,"CHECK")</f>
        <v>2 BHK</v>
      </c>
      <c r="P131" s="5" t="str">
        <f>_xlfn.XLOOKUP(J131,MAPPING!M:M,MAPPING!N:N,"CHECK")</f>
        <v>Resale</v>
      </c>
      <c r="Q131" s="5">
        <f t="shared" si="15"/>
        <v>6158000</v>
      </c>
      <c r="R131" s="5">
        <f t="shared" si="16"/>
        <v>1946</v>
      </c>
      <c r="S131" s="5">
        <f t="shared" si="17"/>
        <v>3164.4398766700924</v>
      </c>
      <c r="T131" s="5"/>
      <c r="U131" s="5"/>
      <c r="V131" s="5"/>
      <c r="W131" s="5">
        <f t="shared" si="18"/>
        <v>0</v>
      </c>
      <c r="X131" s="5" t="str" cm="1">
        <f t="array" ref="X131">IF(W131=0,"",MEDIANIFS($S$2:$S$209,$M$2:$M$209,U131,$N$2:$N$209,V131,$P$2:$P$209,"Resale"))</f>
        <v/>
      </c>
      <c r="Y131" s="5" t="str">
        <f t="shared" si="19"/>
        <v/>
      </c>
      <c r="Z131" s="5">
        <f t="shared" si="20"/>
        <v>0</v>
      </c>
      <c r="AA131" s="5" t="str" cm="1">
        <f t="array" ref="AA131">IF(Z131=0,"",MEDIAN(_xlfn._xlws.FILTER($Y$2:$Y$209,($M$2:$M$209=U131)*($N$2:$N$209=V131)*($P$2:$P$209="Long Term Rental")*($Y$2:$Y$209&lt;&gt;""),"")))</f>
        <v/>
      </c>
      <c r="AB131" s="5" t="str">
        <f t="shared" si="21"/>
        <v/>
      </c>
      <c r="AC131" s="5" t="str" cm="1">
        <f t="array" ref="AC131">IFERROR(MEDIAN(_xlfn._xlws.FILTER($Q$2:$Q$209,($M$2:$M$209=U131)*($P$2:$P$209="Short Term Rental")*($Q$2:$Q$209&lt;&gt;""))),"")</f>
        <v/>
      </c>
    </row>
    <row r="132" spans="1:29" ht="15" thickBot="1" x14ac:dyDescent="0.4">
      <c r="A132" s="1" t="s">
        <v>320</v>
      </c>
      <c r="B132" s="1" t="s">
        <v>321</v>
      </c>
      <c r="C132" s="1" t="s">
        <v>77</v>
      </c>
      <c r="D132" s="1" t="s">
        <v>155</v>
      </c>
      <c r="E132" s="1" t="s">
        <v>42</v>
      </c>
      <c r="F132" s="3">
        <v>7381</v>
      </c>
      <c r="G132" s="1" t="s">
        <v>30</v>
      </c>
      <c r="H132" s="3">
        <v>8.31</v>
      </c>
      <c r="I132" s="1" t="s">
        <v>36</v>
      </c>
      <c r="J132" s="1" t="s">
        <v>37</v>
      </c>
      <c r="K132" s="1" t="s">
        <v>124</v>
      </c>
      <c r="L132" s="1"/>
      <c r="M132" s="5" t="str">
        <f>_xlfn.XLOOKUP(TRIM(C132),MAPPING!A:A,MAPPING!B:B,"CHECK")</f>
        <v>Kondhwal Valley</v>
      </c>
      <c r="N132" s="5" t="str">
        <f>_xlfn.XLOOKUP(D132,MAPPING!G:G,MAPPING!H:H,"CHECK")</f>
        <v>Farmland</v>
      </c>
      <c r="O132" s="5" t="str">
        <f>_xlfn.XLOOKUP(E132,MAPPING!J:J,MAPPING!K:K,"CHECK")</f>
        <v>NA</v>
      </c>
      <c r="P132" s="5" t="str">
        <f>_xlfn.XLOOKUP(J132,MAPPING!M:M,MAPPING!N:N,"CHECK")</f>
        <v>Resale</v>
      </c>
      <c r="Q132" s="5">
        <f t="shared" si="15"/>
        <v>831000</v>
      </c>
      <c r="R132" s="5">
        <f t="shared" si="16"/>
        <v>7381</v>
      </c>
      <c r="S132" s="5">
        <f t="shared" si="17"/>
        <v>112.58637041051348</v>
      </c>
      <c r="T132" s="5"/>
      <c r="U132" s="5"/>
      <c r="V132" s="5"/>
      <c r="W132" s="5">
        <f t="shared" si="18"/>
        <v>0</v>
      </c>
      <c r="X132" s="5" t="str" cm="1">
        <f t="array" ref="X132">IF(W132=0,"",MEDIANIFS($S$2:$S$209,$M$2:$M$209,U132,$N$2:$N$209,V132,$P$2:$P$209,"Resale"))</f>
        <v/>
      </c>
      <c r="Y132" s="5" t="str">
        <f t="shared" si="19"/>
        <v/>
      </c>
      <c r="Z132" s="5">
        <f t="shared" si="20"/>
        <v>0</v>
      </c>
      <c r="AA132" s="5" t="str" cm="1">
        <f t="array" ref="AA132">IF(Z132=0,"",MEDIAN(_xlfn._xlws.FILTER($Y$2:$Y$209,($M$2:$M$209=U132)*($N$2:$N$209=V132)*($P$2:$P$209="Long Term Rental")*($Y$2:$Y$209&lt;&gt;""),"")))</f>
        <v/>
      </c>
      <c r="AB132" s="5" t="str">
        <f t="shared" si="21"/>
        <v/>
      </c>
      <c r="AC132" s="5" t="str" cm="1">
        <f t="array" ref="AC132">IFERROR(MEDIAN(_xlfn._xlws.FILTER($Q$2:$Q$209,($M$2:$M$209=U132)*($P$2:$P$209="Short Term Rental")*($Q$2:$Q$209&lt;&gt;""))),"")</f>
        <v/>
      </c>
    </row>
    <row r="133" spans="1:29" ht="15" thickBot="1" x14ac:dyDescent="0.4">
      <c r="A133" s="1" t="s">
        <v>380</v>
      </c>
      <c r="B133" s="1" t="s">
        <v>321</v>
      </c>
      <c r="C133" s="1" t="s">
        <v>77</v>
      </c>
      <c r="D133" s="1" t="s">
        <v>155</v>
      </c>
      <c r="E133" s="1" t="s">
        <v>42</v>
      </c>
      <c r="F133" s="3">
        <v>1.17</v>
      </c>
      <c r="G133" s="1" t="s">
        <v>85</v>
      </c>
      <c r="H133" s="3">
        <v>61.77</v>
      </c>
      <c r="I133" s="1" t="s">
        <v>36</v>
      </c>
      <c r="J133" s="1" t="s">
        <v>37</v>
      </c>
      <c r="K133" s="1" t="s">
        <v>19</v>
      </c>
      <c r="L133" s="1"/>
      <c r="M133" s="5" t="str">
        <f>_xlfn.XLOOKUP(TRIM(C133),MAPPING!A:A,MAPPING!B:B,"CHECK")</f>
        <v>Kondhwal Valley</v>
      </c>
      <c r="N133" s="5" t="str">
        <f>_xlfn.XLOOKUP(D133,MAPPING!G:G,MAPPING!H:H,"CHECK")</f>
        <v>Farmland</v>
      </c>
      <c r="O133" s="5" t="str">
        <f>_xlfn.XLOOKUP(E133,MAPPING!J:J,MAPPING!K:K,"CHECK")</f>
        <v>NA</v>
      </c>
      <c r="P133" s="5" t="str">
        <f>_xlfn.XLOOKUP(J133,MAPPING!M:M,MAPPING!N:N,"CHECK")</f>
        <v>Resale</v>
      </c>
      <c r="Q133" s="5">
        <f t="shared" si="15"/>
        <v>6177000</v>
      </c>
      <c r="R133" s="5">
        <f t="shared" si="16"/>
        <v>50965.2</v>
      </c>
      <c r="S133" s="5">
        <f t="shared" si="17"/>
        <v>121.20034847307575</v>
      </c>
      <c r="T133" s="5"/>
      <c r="U133" s="5"/>
      <c r="V133" s="5"/>
      <c r="W133" s="5">
        <f t="shared" si="18"/>
        <v>0</v>
      </c>
      <c r="X133" s="5" t="str" cm="1">
        <f t="array" ref="X133">IF(W133=0,"",MEDIANIFS($S$2:$S$209,$M$2:$M$209,U133,$N$2:$N$209,V133,$P$2:$P$209,"Resale"))</f>
        <v/>
      </c>
      <c r="Y133" s="5" t="str">
        <f t="shared" si="19"/>
        <v/>
      </c>
      <c r="Z133" s="5">
        <f t="shared" si="20"/>
        <v>0</v>
      </c>
      <c r="AA133" s="5" t="str" cm="1">
        <f t="array" ref="AA133">IF(Z133=0,"",MEDIAN(_xlfn._xlws.FILTER($Y$2:$Y$209,($M$2:$M$209=U133)*($N$2:$N$209=V133)*($P$2:$P$209="Long Term Rental")*($Y$2:$Y$209&lt;&gt;""),"")))</f>
        <v/>
      </c>
      <c r="AB133" s="5" t="str">
        <f t="shared" si="21"/>
        <v/>
      </c>
      <c r="AC133" s="5" t="str" cm="1">
        <f t="array" ref="AC133">IFERROR(MEDIAN(_xlfn._xlws.FILTER($Q$2:$Q$209,($M$2:$M$209=U133)*($P$2:$P$209="Short Term Rental")*($Q$2:$Q$209&lt;&gt;""))),"")</f>
        <v/>
      </c>
    </row>
    <row r="134" spans="1:29" ht="15" thickBot="1" x14ac:dyDescent="0.4">
      <c r="A134" s="1" t="s">
        <v>390</v>
      </c>
      <c r="B134" s="1" t="s">
        <v>130</v>
      </c>
      <c r="C134" s="1" t="s">
        <v>77</v>
      </c>
      <c r="D134" s="1" t="s">
        <v>131</v>
      </c>
      <c r="E134" s="1" t="s">
        <v>42</v>
      </c>
      <c r="F134" s="3">
        <v>5988</v>
      </c>
      <c r="G134" s="1" t="s">
        <v>30</v>
      </c>
      <c r="H134" s="3">
        <v>45.96</v>
      </c>
      <c r="I134" s="1" t="s">
        <v>36</v>
      </c>
      <c r="J134" s="1" t="s">
        <v>37</v>
      </c>
      <c r="K134" s="1" t="s">
        <v>124</v>
      </c>
      <c r="L134" s="1"/>
      <c r="M134" s="5" t="str">
        <f>_xlfn.XLOOKUP(TRIM(C134),MAPPING!A:A,MAPPING!B:B,"CHECK")</f>
        <v>Kondhwal Valley</v>
      </c>
      <c r="N134" s="5" t="str">
        <f>_xlfn.XLOOKUP(D134,MAPPING!G:G,MAPPING!H:H,"CHECK")</f>
        <v>Plot</v>
      </c>
      <c r="O134" s="5" t="str">
        <f>_xlfn.XLOOKUP(E134,MAPPING!J:J,MAPPING!K:K,"CHECK")</f>
        <v>NA</v>
      </c>
      <c r="P134" s="5" t="str">
        <f>_xlfn.XLOOKUP(J134,MAPPING!M:M,MAPPING!N:N,"CHECK")</f>
        <v>Resale</v>
      </c>
      <c r="Q134" s="5">
        <f t="shared" si="15"/>
        <v>4596000</v>
      </c>
      <c r="R134" s="5">
        <f t="shared" si="16"/>
        <v>5988</v>
      </c>
      <c r="S134" s="5">
        <f t="shared" si="17"/>
        <v>767.5350701402806</v>
      </c>
      <c r="T134" s="5"/>
      <c r="U134" s="5"/>
      <c r="V134" s="5"/>
      <c r="W134" s="5">
        <f t="shared" si="18"/>
        <v>0</v>
      </c>
      <c r="X134" s="5" t="str" cm="1">
        <f t="array" ref="X134">IF(W134=0,"",MEDIANIFS($S$2:$S$209,$M$2:$M$209,U134,$N$2:$N$209,V134,$P$2:$P$209,"Resale"))</f>
        <v/>
      </c>
      <c r="Y134" s="5" t="str">
        <f t="shared" si="19"/>
        <v/>
      </c>
      <c r="Z134" s="5">
        <f t="shared" si="20"/>
        <v>0</v>
      </c>
      <c r="AA134" s="5" t="str" cm="1">
        <f t="array" ref="AA134">IF(Z134=0,"",MEDIAN(_xlfn._xlws.FILTER($Y$2:$Y$209,($M$2:$M$209=U134)*($N$2:$N$209=V134)*($P$2:$P$209="Long Term Rental")*($Y$2:$Y$209&lt;&gt;""),"")))</f>
        <v/>
      </c>
      <c r="AB134" s="5" t="str">
        <f t="shared" si="21"/>
        <v/>
      </c>
      <c r="AC134" s="5" t="str" cm="1">
        <f t="array" ref="AC134">IFERROR(MEDIAN(_xlfn._xlws.FILTER($Q$2:$Q$209,($M$2:$M$209=U134)*($P$2:$P$209="Short Term Rental")*($Q$2:$Q$209&lt;&gt;""))),"")</f>
        <v/>
      </c>
    </row>
    <row r="135" spans="1:29" ht="15" thickBot="1" x14ac:dyDescent="0.4">
      <c r="A135" s="1" t="s">
        <v>300</v>
      </c>
      <c r="B135" s="1" t="s">
        <v>271</v>
      </c>
      <c r="C135" s="1" t="s">
        <v>70</v>
      </c>
      <c r="D135" s="1" t="s">
        <v>131</v>
      </c>
      <c r="E135" s="1" t="s">
        <v>42</v>
      </c>
      <c r="F135" s="3">
        <v>0.52</v>
      </c>
      <c r="G135" s="1" t="s">
        <v>85</v>
      </c>
      <c r="H135" s="3">
        <v>1.65</v>
      </c>
      <c r="I135" s="1" t="s">
        <v>64</v>
      </c>
      <c r="J135" s="1" t="s">
        <v>37</v>
      </c>
      <c r="K135" s="1" t="s">
        <v>19</v>
      </c>
      <c r="L135" s="1"/>
      <c r="M135" s="5" t="str">
        <f>_xlfn.XLOOKUP(TRIM(C135),MAPPING!A:A,MAPPING!B:B,"CHECK")</f>
        <v>Kondhwal Valley</v>
      </c>
      <c r="N135" s="5" t="str">
        <f>_xlfn.XLOOKUP(D135,MAPPING!G:G,MAPPING!H:H,"CHECK")</f>
        <v>Plot</v>
      </c>
      <c r="O135" s="5" t="str">
        <f>_xlfn.XLOOKUP(E135,MAPPING!J:J,MAPPING!K:K,"CHECK")</f>
        <v>NA</v>
      </c>
      <c r="P135" s="5" t="str">
        <f>_xlfn.XLOOKUP(J135,MAPPING!M:M,MAPPING!N:N,"CHECK")</f>
        <v>Resale</v>
      </c>
      <c r="Q135" s="5">
        <f t="shared" si="15"/>
        <v>16500000</v>
      </c>
      <c r="R135" s="5">
        <f t="shared" si="16"/>
        <v>22651.200000000001</v>
      </c>
      <c r="S135" s="5">
        <f t="shared" si="17"/>
        <v>728.43822843822841</v>
      </c>
      <c r="T135" s="5"/>
      <c r="U135" s="5"/>
      <c r="V135" s="5"/>
      <c r="W135" s="5">
        <f t="shared" si="18"/>
        <v>0</v>
      </c>
      <c r="X135" s="5" t="str" cm="1">
        <f t="array" ref="X135">IF(W135=0,"",MEDIANIFS($S$2:$S$209,$M$2:$M$209,U135,$N$2:$N$209,V135,$P$2:$P$209,"Resale"))</f>
        <v/>
      </c>
      <c r="Y135" s="5" t="str">
        <f t="shared" si="19"/>
        <v/>
      </c>
      <c r="Z135" s="5">
        <f t="shared" si="20"/>
        <v>0</v>
      </c>
      <c r="AA135" s="5" t="str" cm="1">
        <f t="array" ref="AA135">IF(Z135=0,"",MEDIAN(_xlfn._xlws.FILTER($Y$2:$Y$209,($M$2:$M$209=U135)*($N$2:$N$209=V135)*($P$2:$P$209="Long Term Rental")*($Y$2:$Y$209&lt;&gt;""),"")))</f>
        <v/>
      </c>
      <c r="AB135" s="5" t="str">
        <f t="shared" si="21"/>
        <v/>
      </c>
      <c r="AC135" s="5" t="str" cm="1">
        <f t="array" ref="AC135">IFERROR(MEDIAN(_xlfn._xlws.FILTER($Q$2:$Q$209,($M$2:$M$209=U135)*($P$2:$P$209="Short Term Rental")*($Q$2:$Q$209&lt;&gt;""))),"")</f>
        <v/>
      </c>
    </row>
    <row r="136" spans="1:29" ht="15" thickBot="1" x14ac:dyDescent="0.4">
      <c r="A136" s="1" t="s">
        <v>75</v>
      </c>
      <c r="B136" s="1" t="s">
        <v>76</v>
      </c>
      <c r="C136" s="1" t="s">
        <v>77</v>
      </c>
      <c r="D136" s="1" t="s">
        <v>15</v>
      </c>
      <c r="E136" s="1" t="s">
        <v>52</v>
      </c>
      <c r="F136" s="3">
        <v>2161</v>
      </c>
      <c r="G136" s="1" t="s">
        <v>30</v>
      </c>
      <c r="H136" s="3">
        <v>67.8</v>
      </c>
      <c r="I136" s="1" t="s">
        <v>36</v>
      </c>
      <c r="J136" s="1" t="s">
        <v>37</v>
      </c>
      <c r="K136" s="1" t="s">
        <v>53</v>
      </c>
      <c r="L136" s="1"/>
      <c r="M136" s="5" t="str">
        <f>_xlfn.XLOOKUP(TRIM(C136),MAPPING!A:A,MAPPING!B:B,"CHECK")</f>
        <v>Kondhwal Valley</v>
      </c>
      <c r="N136" s="5" t="str">
        <f>_xlfn.XLOOKUP(D136,MAPPING!G:G,MAPPING!H:H,"CHECK")</f>
        <v>Villa</v>
      </c>
      <c r="O136" s="5" t="str">
        <f>_xlfn.XLOOKUP(E136,MAPPING!J:J,MAPPING!K:K,"CHECK")</f>
        <v>2 BHK</v>
      </c>
      <c r="P136" s="5" t="str">
        <f>_xlfn.XLOOKUP(J136,MAPPING!M:M,MAPPING!N:N,"CHECK")</f>
        <v>Resale</v>
      </c>
      <c r="Q136" s="5">
        <f t="shared" si="15"/>
        <v>6780000</v>
      </c>
      <c r="R136" s="5">
        <f t="shared" si="16"/>
        <v>2161</v>
      </c>
      <c r="S136" s="5">
        <f t="shared" si="17"/>
        <v>3137.4363720499769</v>
      </c>
      <c r="T136" s="5"/>
      <c r="U136" s="5"/>
      <c r="V136" s="5"/>
      <c r="W136" s="5">
        <f t="shared" si="18"/>
        <v>0</v>
      </c>
      <c r="X136" s="5" t="str" cm="1">
        <f t="array" ref="X136">IF(W136=0,"",MEDIANIFS($S$2:$S$209,$M$2:$M$209,U136,$N$2:$N$209,V136,$P$2:$P$209,"Resale"))</f>
        <v/>
      </c>
      <c r="Y136" s="5" t="str">
        <f t="shared" si="19"/>
        <v/>
      </c>
      <c r="Z136" s="5">
        <f t="shared" si="20"/>
        <v>0</v>
      </c>
      <c r="AA136" s="5" t="str" cm="1">
        <f t="array" ref="AA136">IF(Z136=0,"",MEDIAN(_xlfn._xlws.FILTER($Y$2:$Y$209,($M$2:$M$209=U136)*($N$2:$N$209=V136)*($P$2:$P$209="Long Term Rental")*($Y$2:$Y$209&lt;&gt;""),"")))</f>
        <v/>
      </c>
      <c r="AB136" s="5" t="str">
        <f t="shared" si="21"/>
        <v/>
      </c>
      <c r="AC136" s="5" t="str" cm="1">
        <f t="array" ref="AC136">IFERROR(MEDIAN(_xlfn._xlws.FILTER($Q$2:$Q$209,($M$2:$M$209=U136)*($P$2:$P$209="Short Term Rental")*($Q$2:$Q$209&lt;&gt;""))),"")</f>
        <v/>
      </c>
    </row>
    <row r="137" spans="1:29" ht="15" thickBot="1" x14ac:dyDescent="0.4">
      <c r="A137" s="1" t="s">
        <v>270</v>
      </c>
      <c r="B137" s="1" t="s">
        <v>271</v>
      </c>
      <c r="C137" s="1" t="s">
        <v>70</v>
      </c>
      <c r="D137" s="1" t="s">
        <v>131</v>
      </c>
      <c r="E137" s="1" t="s">
        <v>42</v>
      </c>
      <c r="F137" s="1"/>
      <c r="G137" s="1" t="s">
        <v>43</v>
      </c>
      <c r="H137" s="3">
        <v>62.84</v>
      </c>
      <c r="I137" s="1" t="s">
        <v>36</v>
      </c>
      <c r="J137" s="1" t="s">
        <v>37</v>
      </c>
      <c r="K137" s="1" t="s">
        <v>19</v>
      </c>
      <c r="L137" s="1"/>
      <c r="M137" s="5" t="str">
        <f>_xlfn.XLOOKUP(TRIM(C137),MAPPING!A:A,MAPPING!B:B,"CHECK")</f>
        <v>Kondhwal Valley</v>
      </c>
      <c r="N137" s="5" t="str">
        <f>_xlfn.XLOOKUP(D137,MAPPING!G:G,MAPPING!H:H,"CHECK")</f>
        <v>Plot</v>
      </c>
      <c r="O137" s="5" t="str">
        <f>_xlfn.XLOOKUP(E137,MAPPING!J:J,MAPPING!K:K,"CHECK")</f>
        <v>NA</v>
      </c>
      <c r="P137" s="5" t="str">
        <f>_xlfn.XLOOKUP(J137,MAPPING!M:M,MAPPING!N:N,"CHECK")</f>
        <v>Resale</v>
      </c>
      <c r="Q137" s="5">
        <f t="shared" si="15"/>
        <v>6284000</v>
      </c>
      <c r="R137" s="5">
        <f t="shared" si="16"/>
        <v>0</v>
      </c>
      <c r="S137" s="5" t="str">
        <f t="shared" si="17"/>
        <v/>
      </c>
      <c r="T137" s="5"/>
      <c r="U137" s="5"/>
      <c r="V137" s="5"/>
      <c r="W137" s="5">
        <f t="shared" si="18"/>
        <v>0</v>
      </c>
      <c r="X137" s="5" t="str" cm="1">
        <f t="array" ref="X137">IF(W137=0,"",MEDIANIFS($S$2:$S$209,$M$2:$M$209,U137,$N$2:$N$209,V137,$P$2:$P$209,"Resale"))</f>
        <v/>
      </c>
      <c r="Y137" s="5" t="str">
        <f t="shared" si="19"/>
        <v/>
      </c>
      <c r="Z137" s="5">
        <f t="shared" si="20"/>
        <v>0</v>
      </c>
      <c r="AA137" s="5" t="str" cm="1">
        <f t="array" ref="AA137">IF(Z137=0,"",MEDIAN(_xlfn._xlws.FILTER($Y$2:$Y$209,($M$2:$M$209=U137)*($N$2:$N$209=V137)*($P$2:$P$209="Long Term Rental")*($Y$2:$Y$209&lt;&gt;""),"")))</f>
        <v/>
      </c>
      <c r="AB137" s="5" t="str">
        <f t="shared" si="21"/>
        <v/>
      </c>
      <c r="AC137" s="5" t="str" cm="1">
        <f t="array" ref="AC137">IFERROR(MEDIAN(_xlfn._xlws.FILTER($Q$2:$Q$209,($M$2:$M$209=U137)*($P$2:$P$209="Short Term Rental")*($Q$2:$Q$209&lt;&gt;""))),"")</f>
        <v/>
      </c>
    </row>
    <row r="138" spans="1:29" ht="15" thickBot="1" x14ac:dyDescent="0.4">
      <c r="A138" s="1" t="s">
        <v>339</v>
      </c>
      <c r="B138" s="1" t="s">
        <v>231</v>
      </c>
      <c r="C138" s="1" t="s">
        <v>77</v>
      </c>
      <c r="D138" s="1" t="s">
        <v>117</v>
      </c>
      <c r="E138" s="1" t="s">
        <v>42</v>
      </c>
      <c r="F138" s="3">
        <v>0.89</v>
      </c>
      <c r="G138" s="1" t="s">
        <v>85</v>
      </c>
      <c r="H138" s="3">
        <v>47.83</v>
      </c>
      <c r="I138" s="1" t="s">
        <v>36</v>
      </c>
      <c r="J138" s="1" t="s">
        <v>37</v>
      </c>
      <c r="K138" s="1" t="s">
        <v>19</v>
      </c>
      <c r="L138" s="1"/>
      <c r="M138" s="5" t="str">
        <f>_xlfn.XLOOKUP(TRIM(C138),MAPPING!A:A,MAPPING!B:B,"CHECK")</f>
        <v>Kondhwal Valley</v>
      </c>
      <c r="N138" s="5" t="str">
        <f>_xlfn.XLOOKUP(D138,MAPPING!G:G,MAPPING!H:H,"CHECK")</f>
        <v>Farmland</v>
      </c>
      <c r="O138" s="5" t="str">
        <f>_xlfn.XLOOKUP(E138,MAPPING!J:J,MAPPING!K:K,"CHECK")</f>
        <v>NA</v>
      </c>
      <c r="P138" s="5" t="str">
        <f>_xlfn.XLOOKUP(J138,MAPPING!M:M,MAPPING!N:N,"CHECK")</f>
        <v>Resale</v>
      </c>
      <c r="Q138" s="5">
        <f t="shared" si="15"/>
        <v>4783000</v>
      </c>
      <c r="R138" s="5">
        <f t="shared" si="16"/>
        <v>38768.400000000001</v>
      </c>
      <c r="S138" s="5">
        <f t="shared" si="17"/>
        <v>123.37367546764891</v>
      </c>
      <c r="T138" s="5"/>
      <c r="U138" s="5"/>
      <c r="V138" s="5"/>
      <c r="W138" s="5">
        <f t="shared" si="18"/>
        <v>0</v>
      </c>
      <c r="X138" s="5" t="str" cm="1">
        <f t="array" ref="X138">IF(W138=0,"",MEDIANIFS($S$2:$S$209,$M$2:$M$209,U138,$N$2:$N$209,V138,$P$2:$P$209,"Resale"))</f>
        <v/>
      </c>
      <c r="Y138" s="5" t="str">
        <f t="shared" si="19"/>
        <v/>
      </c>
      <c r="Z138" s="5">
        <f t="shared" si="20"/>
        <v>0</v>
      </c>
      <c r="AA138" s="5" t="str" cm="1">
        <f t="array" ref="AA138">IF(Z138=0,"",MEDIAN(_xlfn._xlws.FILTER($Y$2:$Y$209,($M$2:$M$209=U138)*($N$2:$N$209=V138)*($P$2:$P$209="Long Term Rental")*($Y$2:$Y$209&lt;&gt;""),"")))</f>
        <v/>
      </c>
      <c r="AB138" s="5" t="str">
        <f t="shared" si="21"/>
        <v/>
      </c>
      <c r="AC138" s="5" t="str" cm="1">
        <f t="array" ref="AC138">IFERROR(MEDIAN(_xlfn._xlws.FILTER($Q$2:$Q$209,($M$2:$M$209=U138)*($P$2:$P$209="Short Term Rental")*($Q$2:$Q$209&lt;&gt;""))),"")</f>
        <v/>
      </c>
    </row>
    <row r="139" spans="1:29" ht="15" thickBot="1" x14ac:dyDescent="0.4">
      <c r="A139" s="1" t="s">
        <v>342</v>
      </c>
      <c r="B139" s="1" t="s">
        <v>343</v>
      </c>
      <c r="C139" s="2" t="s">
        <v>112</v>
      </c>
      <c r="D139" s="1" t="s">
        <v>166</v>
      </c>
      <c r="E139" s="1" t="s">
        <v>42</v>
      </c>
      <c r="F139" s="3">
        <v>1.64</v>
      </c>
      <c r="G139" s="1" t="s">
        <v>85</v>
      </c>
      <c r="H139" s="3">
        <v>95.32</v>
      </c>
      <c r="I139" s="1" t="s">
        <v>36</v>
      </c>
      <c r="J139" s="1" t="s">
        <v>37</v>
      </c>
      <c r="K139" s="1" t="s">
        <v>19</v>
      </c>
      <c r="L139" s="1"/>
      <c r="M139" s="5" t="str">
        <f>_xlfn.XLOOKUP(TRIM(C139),MAPPING!A:A,MAPPING!B:B,"CHECK")</f>
        <v>Kondhwal Valley</v>
      </c>
      <c r="N139" s="5" t="str">
        <f>_xlfn.XLOOKUP(D139,MAPPING!G:G,MAPPING!H:H,"CHECK")</f>
        <v>Farmland</v>
      </c>
      <c r="O139" s="5" t="str">
        <f>_xlfn.XLOOKUP(E139,MAPPING!J:J,MAPPING!K:K,"CHECK")</f>
        <v>NA</v>
      </c>
      <c r="P139" s="5" t="str">
        <f>_xlfn.XLOOKUP(J139,MAPPING!M:M,MAPPING!N:N,"CHECK")</f>
        <v>Resale</v>
      </c>
      <c r="Q139" s="5">
        <f t="shared" si="15"/>
        <v>9532000</v>
      </c>
      <c r="R139" s="5">
        <f t="shared" si="16"/>
        <v>71438.399999999994</v>
      </c>
      <c r="S139" s="5">
        <f t="shared" si="17"/>
        <v>133.42964008152478</v>
      </c>
      <c r="T139" s="5"/>
      <c r="U139" s="5"/>
      <c r="V139" s="5"/>
      <c r="W139" s="5">
        <f t="shared" si="18"/>
        <v>0</v>
      </c>
      <c r="X139" s="5" t="str" cm="1">
        <f t="array" ref="X139">IF(W139=0,"",MEDIANIFS($S$2:$S$209,$M$2:$M$209,U139,$N$2:$N$209,V139,$P$2:$P$209,"Resale"))</f>
        <v/>
      </c>
      <c r="Y139" s="5" t="str">
        <f t="shared" si="19"/>
        <v/>
      </c>
      <c r="Z139" s="5">
        <f t="shared" si="20"/>
        <v>0</v>
      </c>
      <c r="AA139" s="5" t="str" cm="1">
        <f t="array" ref="AA139">IF(Z139=0,"",MEDIAN(_xlfn._xlws.FILTER($Y$2:$Y$209,($M$2:$M$209=U139)*($N$2:$N$209=V139)*($P$2:$P$209="Long Term Rental")*($Y$2:$Y$209&lt;&gt;""),"")))</f>
        <v/>
      </c>
      <c r="AB139" s="5" t="str">
        <f t="shared" si="21"/>
        <v/>
      </c>
      <c r="AC139" s="5" t="str" cm="1">
        <f t="array" ref="AC139">IFERROR(MEDIAN(_xlfn._xlws.FILTER($Q$2:$Q$209,($M$2:$M$209=U139)*($P$2:$P$209="Short Term Rental")*($Q$2:$Q$209&lt;&gt;""))),"")</f>
        <v/>
      </c>
    </row>
    <row r="140" spans="1:29" ht="15" thickBot="1" x14ac:dyDescent="0.4">
      <c r="A140" s="1" t="s">
        <v>406</v>
      </c>
      <c r="B140" s="1" t="s">
        <v>407</v>
      </c>
      <c r="C140" s="1" t="s">
        <v>70</v>
      </c>
      <c r="D140" s="1" t="s">
        <v>63</v>
      </c>
      <c r="E140" s="1" t="s">
        <v>42</v>
      </c>
      <c r="F140" s="3">
        <v>5839</v>
      </c>
      <c r="G140" s="1" t="s">
        <v>30</v>
      </c>
      <c r="H140" s="3">
        <v>471.8</v>
      </c>
      <c r="I140" s="1" t="s">
        <v>36</v>
      </c>
      <c r="J140" s="1" t="s">
        <v>37</v>
      </c>
      <c r="K140" s="1" t="s">
        <v>19</v>
      </c>
      <c r="L140" s="1"/>
      <c r="M140" s="5" t="str">
        <f>_xlfn.XLOOKUP(TRIM(C140),MAPPING!A:A,MAPPING!B:B,"CHECK")</f>
        <v>Kondhwal Valley</v>
      </c>
      <c r="N140" s="5" t="str">
        <f>_xlfn.XLOOKUP(D140,MAPPING!G:G,MAPPING!H:H,"CHECK")</f>
        <v>Plot</v>
      </c>
      <c r="O140" s="5" t="str">
        <f>_xlfn.XLOOKUP(E140,MAPPING!J:J,MAPPING!K:K,"CHECK")</f>
        <v>NA</v>
      </c>
      <c r="P140" s="5" t="str">
        <f>_xlfn.XLOOKUP(J140,MAPPING!M:M,MAPPING!N:N,"CHECK")</f>
        <v>Resale</v>
      </c>
      <c r="Q140" s="5">
        <f t="shared" si="15"/>
        <v>47180000</v>
      </c>
      <c r="R140" s="5">
        <f t="shared" si="16"/>
        <v>5839</v>
      </c>
      <c r="S140" s="5">
        <f t="shared" si="17"/>
        <v>8080.1507107381403</v>
      </c>
      <c r="T140" s="5"/>
      <c r="U140" s="5"/>
      <c r="V140" s="5"/>
      <c r="W140" s="5">
        <f t="shared" si="18"/>
        <v>0</v>
      </c>
      <c r="X140" s="5" t="str" cm="1">
        <f t="array" ref="X140">IF(W140=0,"",MEDIANIFS($S$2:$S$209,$M$2:$M$209,U140,$N$2:$N$209,V140,$P$2:$P$209,"Resale"))</f>
        <v/>
      </c>
      <c r="Y140" s="5" t="str">
        <f t="shared" si="19"/>
        <v/>
      </c>
      <c r="Z140" s="5">
        <f t="shared" si="20"/>
        <v>0</v>
      </c>
      <c r="AA140" s="5" t="str" cm="1">
        <f t="array" ref="AA140">IF(Z140=0,"",MEDIAN(_xlfn._xlws.FILTER($Y$2:$Y$209,($M$2:$M$209=U140)*($N$2:$N$209=V140)*($P$2:$P$209="Long Term Rental")*($Y$2:$Y$209&lt;&gt;""),"")))</f>
        <v/>
      </c>
      <c r="AB140" s="5" t="str">
        <f t="shared" si="21"/>
        <v/>
      </c>
      <c r="AC140" s="5" t="str" cm="1">
        <f t="array" ref="AC140">IFERROR(MEDIAN(_xlfn._xlws.FILTER($Q$2:$Q$209,($M$2:$M$209=U140)*($P$2:$P$209="Short Term Rental")*($Q$2:$Q$209&lt;&gt;""))),"")</f>
        <v/>
      </c>
    </row>
    <row r="141" spans="1:29" ht="15" thickBot="1" x14ac:dyDescent="0.4">
      <c r="A141" s="1" t="s">
        <v>108</v>
      </c>
      <c r="B141" s="2" t="s">
        <v>109</v>
      </c>
      <c r="C141" s="1" t="s">
        <v>14</v>
      </c>
      <c r="D141" s="1" t="s">
        <v>24</v>
      </c>
      <c r="E141" s="1" t="s">
        <v>71</v>
      </c>
      <c r="F141" s="3">
        <v>1103</v>
      </c>
      <c r="G141" s="1" t="s">
        <v>30</v>
      </c>
      <c r="H141" s="3">
        <v>-25.29</v>
      </c>
      <c r="I141" s="1" t="s">
        <v>36</v>
      </c>
      <c r="J141" s="1" t="s">
        <v>37</v>
      </c>
      <c r="K141" s="1" t="s">
        <v>19</v>
      </c>
      <c r="L141" s="1"/>
      <c r="M141" s="5" t="str">
        <f>_xlfn.XLOOKUP(TRIM(C141),MAPPING!A:A,MAPPING!B:B,"CHECK")</f>
        <v>Kondhwal Valley</v>
      </c>
      <c r="N141" s="5" t="str">
        <f>_xlfn.XLOOKUP(D141,MAPPING!G:G,MAPPING!H:H,"CHECK")</f>
        <v>Villa</v>
      </c>
      <c r="O141" s="5" t="str">
        <f>_xlfn.XLOOKUP(E141,MAPPING!J:J,MAPPING!K:K,"CHECK")</f>
        <v>2 BHK</v>
      </c>
      <c r="P141" s="5" t="str">
        <f>_xlfn.XLOOKUP(J141,MAPPING!M:M,MAPPING!N:N,"CHECK")</f>
        <v>Resale</v>
      </c>
      <c r="Q141" s="5">
        <f t="shared" si="15"/>
        <v>-2529000</v>
      </c>
      <c r="R141" s="5">
        <f t="shared" si="16"/>
        <v>1103</v>
      </c>
      <c r="S141" s="5">
        <f t="shared" si="17"/>
        <v>-2292.8377153218494</v>
      </c>
      <c r="T141" s="5"/>
      <c r="U141" s="5"/>
      <c r="V141" s="5"/>
      <c r="W141" s="5">
        <f t="shared" si="18"/>
        <v>0</v>
      </c>
      <c r="X141" s="5" t="str" cm="1">
        <f t="array" ref="X141">IF(W141=0,"",MEDIANIFS($S$2:$S$209,$M$2:$M$209,U141,$N$2:$N$209,V141,$P$2:$P$209,"Resale"))</f>
        <v/>
      </c>
      <c r="Y141" s="5" t="str">
        <f t="shared" si="19"/>
        <v/>
      </c>
      <c r="Z141" s="5">
        <f t="shared" si="20"/>
        <v>0</v>
      </c>
      <c r="AA141" s="5" t="str" cm="1">
        <f t="array" ref="AA141">IF(Z141=0,"",MEDIAN(_xlfn._xlws.FILTER($Y$2:$Y$209,($M$2:$M$209=U141)*($N$2:$N$209=V141)*($P$2:$P$209="Long Term Rental")*($Y$2:$Y$209&lt;&gt;""),"")))</f>
        <v/>
      </c>
      <c r="AB141" s="5" t="str">
        <f t="shared" si="21"/>
        <v/>
      </c>
      <c r="AC141" s="5" t="str" cm="1">
        <f t="array" ref="AC141">IFERROR(MEDIAN(_xlfn._xlws.FILTER($Q$2:$Q$209,($M$2:$M$209=U141)*($P$2:$P$209="Short Term Rental")*($Q$2:$Q$209&lt;&gt;""))),"")</f>
        <v/>
      </c>
    </row>
    <row r="142" spans="1:29" ht="15" thickBot="1" x14ac:dyDescent="0.4">
      <c r="A142" s="1" t="s">
        <v>202</v>
      </c>
      <c r="B142" s="2" t="s">
        <v>203</v>
      </c>
      <c r="C142" s="2" t="s">
        <v>112</v>
      </c>
      <c r="D142" s="1" t="s">
        <v>24</v>
      </c>
      <c r="E142" s="1" t="s">
        <v>48</v>
      </c>
      <c r="F142" s="3">
        <v>1974</v>
      </c>
      <c r="G142" s="1" t="s">
        <v>30</v>
      </c>
      <c r="H142" s="3">
        <v>62.66</v>
      </c>
      <c r="I142" s="1" t="s">
        <v>36</v>
      </c>
      <c r="J142" s="1" t="s">
        <v>37</v>
      </c>
      <c r="K142" s="1" t="s">
        <v>19</v>
      </c>
      <c r="L142" s="1"/>
      <c r="M142" s="5" t="str">
        <f>_xlfn.XLOOKUP(TRIM(C142),MAPPING!A:A,MAPPING!B:B,"CHECK")</f>
        <v>Kondhwal Valley</v>
      </c>
      <c r="N142" s="5" t="str">
        <f>_xlfn.XLOOKUP(D142,MAPPING!G:G,MAPPING!H:H,"CHECK")</f>
        <v>Villa</v>
      </c>
      <c r="O142" s="5" t="str">
        <f>_xlfn.XLOOKUP(E142,MAPPING!J:J,MAPPING!K:K,"CHECK")</f>
        <v>2 BHK</v>
      </c>
      <c r="P142" s="5" t="str">
        <f>_xlfn.XLOOKUP(J142,MAPPING!M:M,MAPPING!N:N,"CHECK")</f>
        <v>Resale</v>
      </c>
      <c r="Q142" s="5">
        <f t="shared" si="15"/>
        <v>6266000</v>
      </c>
      <c r="R142" s="5">
        <f t="shared" si="16"/>
        <v>1974</v>
      </c>
      <c r="S142" s="5">
        <f t="shared" si="17"/>
        <v>3174.2654508611954</v>
      </c>
      <c r="T142" s="5"/>
      <c r="U142" s="5"/>
      <c r="V142" s="5"/>
      <c r="W142" s="5">
        <f t="shared" si="18"/>
        <v>0</v>
      </c>
      <c r="X142" s="5" t="str" cm="1">
        <f t="array" ref="X142">IF(W142=0,"",MEDIANIFS($S$2:$S$209,$M$2:$M$209,U142,$N$2:$N$209,V142,$P$2:$P$209,"Resale"))</f>
        <v/>
      </c>
      <c r="Y142" s="5" t="str">
        <f t="shared" si="19"/>
        <v/>
      </c>
      <c r="Z142" s="5">
        <f t="shared" si="20"/>
        <v>0</v>
      </c>
      <c r="AA142" s="5" t="str" cm="1">
        <f t="array" ref="AA142">IF(Z142=0,"",MEDIAN(_xlfn._xlws.FILTER($Y$2:$Y$209,($M$2:$M$209=U142)*($N$2:$N$209=V142)*($P$2:$P$209="Long Term Rental")*($Y$2:$Y$209&lt;&gt;""),"")))</f>
        <v/>
      </c>
      <c r="AB142" s="5" t="str">
        <f t="shared" si="21"/>
        <v/>
      </c>
      <c r="AC142" s="5" t="str" cm="1">
        <f t="array" ref="AC142">IFERROR(MEDIAN(_xlfn._xlws.FILTER($Q$2:$Q$209,($M$2:$M$209=U142)*($P$2:$P$209="Short Term Rental")*($Q$2:$Q$209&lt;&gt;""))),"")</f>
        <v/>
      </c>
    </row>
    <row r="143" spans="1:29" ht="15" thickBot="1" x14ac:dyDescent="0.4">
      <c r="A143" s="1" t="s">
        <v>142</v>
      </c>
      <c r="B143" s="1" t="s">
        <v>143</v>
      </c>
      <c r="C143" s="1" t="s">
        <v>70</v>
      </c>
      <c r="D143" s="1" t="s">
        <v>47</v>
      </c>
      <c r="E143" s="1" t="s">
        <v>16</v>
      </c>
      <c r="F143" s="3">
        <v>2656</v>
      </c>
      <c r="G143" s="1" t="s">
        <v>30</v>
      </c>
      <c r="H143" s="3">
        <v>1.03</v>
      </c>
      <c r="I143" s="1" t="s">
        <v>64</v>
      </c>
      <c r="J143" s="1" t="s">
        <v>37</v>
      </c>
      <c r="K143" s="1" t="s">
        <v>19</v>
      </c>
      <c r="L143" s="1"/>
      <c r="M143" s="5" t="str">
        <f>_xlfn.XLOOKUP(TRIM(C143),MAPPING!A:A,MAPPING!B:B,"CHECK")</f>
        <v>Kondhwal Valley</v>
      </c>
      <c r="N143" s="5" t="str">
        <f>_xlfn.XLOOKUP(D143,MAPPING!G:G,MAPPING!H:H,"CHECK")</f>
        <v>Villa</v>
      </c>
      <c r="O143" s="5" t="str">
        <f>_xlfn.XLOOKUP(E143,MAPPING!J:J,MAPPING!K:K,"CHECK")</f>
        <v>3 BHK</v>
      </c>
      <c r="P143" s="5" t="str">
        <f>_xlfn.XLOOKUP(J143,MAPPING!M:M,MAPPING!N:N,"CHECK")</f>
        <v>Resale</v>
      </c>
      <c r="Q143" s="5">
        <f t="shared" si="15"/>
        <v>10300000</v>
      </c>
      <c r="R143" s="5">
        <f t="shared" si="16"/>
        <v>2656</v>
      </c>
      <c r="S143" s="5">
        <f t="shared" si="17"/>
        <v>3878.0120481927711</v>
      </c>
      <c r="T143" s="5"/>
      <c r="U143" s="5"/>
      <c r="V143" s="5"/>
      <c r="W143" s="5">
        <f t="shared" si="18"/>
        <v>0</v>
      </c>
      <c r="X143" s="5" t="str" cm="1">
        <f t="array" ref="X143">IF(W143=0,"",MEDIANIFS($S$2:$S$209,$M$2:$M$209,U143,$N$2:$N$209,V143,$P$2:$P$209,"Resale"))</f>
        <v/>
      </c>
      <c r="Y143" s="5" t="str">
        <f t="shared" si="19"/>
        <v/>
      </c>
      <c r="Z143" s="5">
        <f t="shared" si="20"/>
        <v>0</v>
      </c>
      <c r="AA143" s="5" t="str" cm="1">
        <f t="array" ref="AA143">IF(Z143=0,"",MEDIAN(_xlfn._xlws.FILTER($Y$2:$Y$209,($M$2:$M$209=U143)*($N$2:$N$209=V143)*($P$2:$P$209="Long Term Rental")*($Y$2:$Y$209&lt;&gt;""),"")))</f>
        <v/>
      </c>
      <c r="AB143" s="5" t="str">
        <f t="shared" si="21"/>
        <v/>
      </c>
      <c r="AC143" s="5" t="str" cm="1">
        <f t="array" ref="AC143">IFERROR(MEDIAN(_xlfn._xlws.FILTER($Q$2:$Q$209,($M$2:$M$209=U143)*($P$2:$P$209="Short Term Rental")*($Q$2:$Q$209&lt;&gt;""))),"")</f>
        <v/>
      </c>
    </row>
    <row r="144" spans="1:29" ht="15" thickBot="1" x14ac:dyDescent="0.4">
      <c r="A144" s="1" t="s">
        <v>167</v>
      </c>
      <c r="B144" s="1" t="s">
        <v>168</v>
      </c>
      <c r="C144" s="1" t="s">
        <v>14</v>
      </c>
      <c r="D144" s="1" t="s">
        <v>41</v>
      </c>
      <c r="E144" s="1" t="s">
        <v>42</v>
      </c>
      <c r="F144" s="3">
        <v>7543</v>
      </c>
      <c r="G144" s="1" t="s">
        <v>30</v>
      </c>
      <c r="H144" s="3">
        <v>55.41</v>
      </c>
      <c r="I144" s="1" t="s">
        <v>36</v>
      </c>
      <c r="J144" s="1" t="s">
        <v>37</v>
      </c>
      <c r="K144" s="1" t="s">
        <v>19</v>
      </c>
      <c r="L144" s="2" t="s">
        <v>169</v>
      </c>
      <c r="M144" s="5" t="str">
        <f>_xlfn.XLOOKUP(TRIM(C144),MAPPING!A:A,MAPPING!B:B,"CHECK")</f>
        <v>Kondhwal Valley</v>
      </c>
      <c r="N144" s="5" t="str">
        <f>_xlfn.XLOOKUP(D144,MAPPING!G:G,MAPPING!H:H,"CHECK")</f>
        <v>Plot</v>
      </c>
      <c r="O144" s="5" t="str">
        <f>_xlfn.XLOOKUP(E144,MAPPING!J:J,MAPPING!K:K,"CHECK")</f>
        <v>NA</v>
      </c>
      <c r="P144" s="5" t="str">
        <f>_xlfn.XLOOKUP(J144,MAPPING!M:M,MAPPING!N:N,"CHECK")</f>
        <v>Resale</v>
      </c>
      <c r="Q144" s="5">
        <f t="shared" si="15"/>
        <v>5541000</v>
      </c>
      <c r="R144" s="5">
        <f t="shared" si="16"/>
        <v>7543</v>
      </c>
      <c r="S144" s="5">
        <f t="shared" si="17"/>
        <v>734.58836006893807</v>
      </c>
      <c r="T144" s="5"/>
      <c r="U144" s="5"/>
      <c r="V144" s="5"/>
      <c r="W144" s="5">
        <f t="shared" si="18"/>
        <v>0</v>
      </c>
      <c r="X144" s="5" t="str" cm="1">
        <f t="array" ref="X144">IF(W144=0,"",MEDIANIFS($S$2:$S$209,$M$2:$M$209,U144,$N$2:$N$209,V144,$P$2:$P$209,"Resale"))</f>
        <v/>
      </c>
      <c r="Y144" s="5" t="str">
        <f t="shared" si="19"/>
        <v/>
      </c>
      <c r="Z144" s="5">
        <f t="shared" si="20"/>
        <v>0</v>
      </c>
      <c r="AA144" s="5" t="str" cm="1">
        <f t="array" ref="AA144">IF(Z144=0,"",MEDIAN(_xlfn._xlws.FILTER($Y$2:$Y$209,($M$2:$M$209=U144)*($N$2:$N$209=V144)*($P$2:$P$209="Long Term Rental")*($Y$2:$Y$209&lt;&gt;""),"")))</f>
        <v/>
      </c>
      <c r="AB144" s="5" t="str">
        <f t="shared" si="21"/>
        <v/>
      </c>
      <c r="AC144" s="5" t="str" cm="1">
        <f t="array" ref="AC144">IFERROR(MEDIAN(_xlfn._xlws.FILTER($Q$2:$Q$209,($M$2:$M$209=U144)*($P$2:$P$209="Short Term Rental")*($Q$2:$Q$209&lt;&gt;""))),"")</f>
        <v/>
      </c>
    </row>
    <row r="145" spans="1:29" ht="15" thickBot="1" x14ac:dyDescent="0.4">
      <c r="A145" s="1" t="s">
        <v>340</v>
      </c>
      <c r="B145" s="2" t="s">
        <v>341</v>
      </c>
      <c r="C145" s="2" t="s">
        <v>112</v>
      </c>
      <c r="D145" s="1" t="s">
        <v>15</v>
      </c>
      <c r="E145" s="1" t="s">
        <v>35</v>
      </c>
      <c r="F145" s="3">
        <v>2725</v>
      </c>
      <c r="G145" s="1" t="s">
        <v>30</v>
      </c>
      <c r="H145" s="3">
        <v>84.6</v>
      </c>
      <c r="I145" s="1" t="s">
        <v>36</v>
      </c>
      <c r="J145" s="1" t="s">
        <v>37</v>
      </c>
      <c r="K145" s="1" t="s">
        <v>19</v>
      </c>
      <c r="L145" s="1"/>
      <c r="M145" s="5" t="str">
        <f>_xlfn.XLOOKUP(TRIM(C145),MAPPING!A:A,MAPPING!B:B,"CHECK")</f>
        <v>Kondhwal Valley</v>
      </c>
      <c r="N145" s="5" t="str">
        <f>_xlfn.XLOOKUP(D145,MAPPING!G:G,MAPPING!H:H,"CHECK")</f>
        <v>Villa</v>
      </c>
      <c r="O145" s="5" t="str">
        <f>_xlfn.XLOOKUP(E145,MAPPING!J:J,MAPPING!K:K,"CHECK")</f>
        <v>3 BHK</v>
      </c>
      <c r="P145" s="5" t="str">
        <f>_xlfn.XLOOKUP(J145,MAPPING!M:M,MAPPING!N:N,"CHECK")</f>
        <v>Resale</v>
      </c>
      <c r="Q145" s="5">
        <f t="shared" si="15"/>
        <v>8460000</v>
      </c>
      <c r="R145" s="5">
        <f t="shared" si="16"/>
        <v>2725</v>
      </c>
      <c r="S145" s="5">
        <f t="shared" si="17"/>
        <v>3104.5871559633028</v>
      </c>
      <c r="T145" s="5"/>
      <c r="U145" s="5"/>
      <c r="V145" s="5"/>
      <c r="W145" s="5">
        <f t="shared" si="18"/>
        <v>0</v>
      </c>
      <c r="X145" s="5" t="str" cm="1">
        <f t="array" ref="X145">IF(W145=0,"",MEDIANIFS($S$2:$S$209,$M$2:$M$209,U145,$N$2:$N$209,V145,$P$2:$P$209,"Resale"))</f>
        <v/>
      </c>
      <c r="Y145" s="5" t="str">
        <f t="shared" si="19"/>
        <v/>
      </c>
      <c r="Z145" s="5">
        <f t="shared" si="20"/>
        <v>0</v>
      </c>
      <c r="AA145" s="5" t="str" cm="1">
        <f t="array" ref="AA145">IF(Z145=0,"",MEDIAN(_xlfn._xlws.FILTER($Y$2:$Y$209,($M$2:$M$209=U145)*($N$2:$N$209=V145)*($P$2:$P$209="Long Term Rental")*($Y$2:$Y$209&lt;&gt;""),"")))</f>
        <v/>
      </c>
      <c r="AB145" s="5" t="str">
        <f t="shared" si="21"/>
        <v/>
      </c>
      <c r="AC145" s="5" t="str" cm="1">
        <f t="array" ref="AC145">IFERROR(MEDIAN(_xlfn._xlws.FILTER($Q$2:$Q$209,($M$2:$M$209=U145)*($P$2:$P$209="Short Term Rental")*($Q$2:$Q$209&lt;&gt;""))),"")</f>
        <v/>
      </c>
    </row>
    <row r="146" spans="1:29" ht="15" thickBot="1" x14ac:dyDescent="0.4">
      <c r="A146" s="1" t="s">
        <v>212</v>
      </c>
      <c r="B146" s="1" t="s">
        <v>213</v>
      </c>
      <c r="C146" s="2" t="s">
        <v>112</v>
      </c>
      <c r="D146" s="1" t="s">
        <v>131</v>
      </c>
      <c r="E146" s="1" t="s">
        <v>42</v>
      </c>
      <c r="F146" s="3">
        <v>6075</v>
      </c>
      <c r="G146" s="1" t="s">
        <v>30</v>
      </c>
      <c r="H146" s="1"/>
      <c r="I146" s="1" t="s">
        <v>36</v>
      </c>
      <c r="J146" s="1" t="s">
        <v>37</v>
      </c>
      <c r="K146" s="1" t="s">
        <v>53</v>
      </c>
      <c r="L146" s="1"/>
      <c r="M146" s="5" t="str">
        <f>_xlfn.XLOOKUP(TRIM(C146),MAPPING!A:A,MAPPING!B:B,"CHECK")</f>
        <v>Kondhwal Valley</v>
      </c>
      <c r="N146" s="5" t="str">
        <f>_xlfn.XLOOKUP(D146,MAPPING!G:G,MAPPING!H:H,"CHECK")</f>
        <v>Plot</v>
      </c>
      <c r="O146" s="5" t="str">
        <f>_xlfn.XLOOKUP(E146,MAPPING!J:J,MAPPING!K:K,"CHECK")</f>
        <v>NA</v>
      </c>
      <c r="P146" s="5" t="str">
        <f>_xlfn.XLOOKUP(J146,MAPPING!M:M,MAPPING!N:N,"CHECK")</f>
        <v>Resale</v>
      </c>
      <c r="Q146" s="5">
        <f t="shared" si="15"/>
        <v>0</v>
      </c>
      <c r="R146" s="5">
        <f t="shared" si="16"/>
        <v>6075</v>
      </c>
      <c r="S146" s="5">
        <f t="shared" si="17"/>
        <v>0</v>
      </c>
      <c r="T146" s="5"/>
      <c r="U146" s="5"/>
      <c r="V146" s="5"/>
      <c r="W146" s="5">
        <f t="shared" si="18"/>
        <v>0</v>
      </c>
      <c r="X146" s="5" t="str" cm="1">
        <f t="array" ref="X146">IF(W146=0,"",MEDIANIFS($S$2:$S$209,$M$2:$M$209,U146,$N$2:$N$209,V146,$P$2:$P$209,"Resale"))</f>
        <v/>
      </c>
      <c r="Y146" s="5" t="str">
        <f t="shared" si="19"/>
        <v/>
      </c>
      <c r="Z146" s="5">
        <f t="shared" si="20"/>
        <v>0</v>
      </c>
      <c r="AA146" s="5" t="str" cm="1">
        <f t="array" ref="AA146">IF(Z146=0,"",MEDIAN(_xlfn._xlws.FILTER($Y$2:$Y$209,($M$2:$M$209=U146)*($N$2:$N$209=V146)*($P$2:$P$209="Long Term Rental")*($Y$2:$Y$209&lt;&gt;""),"")))</f>
        <v/>
      </c>
      <c r="AB146" s="5" t="str">
        <f t="shared" si="21"/>
        <v/>
      </c>
      <c r="AC146" s="5" t="str" cm="1">
        <f t="array" ref="AC146">IFERROR(MEDIAN(_xlfn._xlws.FILTER($Q$2:$Q$209,($M$2:$M$209=U146)*($P$2:$P$209="Short Term Rental")*($Q$2:$Q$209&lt;&gt;""))),"")</f>
        <v/>
      </c>
    </row>
    <row r="147" spans="1:29" ht="15" thickBot="1" x14ac:dyDescent="0.4">
      <c r="A147" s="1" t="s">
        <v>156</v>
      </c>
      <c r="B147" s="1" t="s">
        <v>157</v>
      </c>
      <c r="C147" s="1" t="s">
        <v>14</v>
      </c>
      <c r="D147" s="1" t="s">
        <v>47</v>
      </c>
      <c r="E147" s="1" t="s">
        <v>35</v>
      </c>
      <c r="F147" s="3">
        <v>2518</v>
      </c>
      <c r="G147" s="1" t="s">
        <v>30</v>
      </c>
      <c r="H147" s="3">
        <v>28900</v>
      </c>
      <c r="I147" s="1" t="s">
        <v>17</v>
      </c>
      <c r="J147" s="1" t="s">
        <v>57</v>
      </c>
      <c r="K147" s="1" t="s">
        <v>19</v>
      </c>
      <c r="L147" s="1"/>
      <c r="M147" s="5" t="str">
        <f>_xlfn.XLOOKUP(TRIM(C147),MAPPING!A:A,MAPPING!B:B,"CHECK")</f>
        <v>Kondhwal Valley</v>
      </c>
      <c r="N147" s="5" t="str">
        <f>_xlfn.XLOOKUP(D147,MAPPING!G:G,MAPPING!H:H,"CHECK")</f>
        <v>Villa</v>
      </c>
      <c r="O147" s="5" t="str">
        <f>_xlfn.XLOOKUP(E147,MAPPING!J:J,MAPPING!K:K,"CHECK")</f>
        <v>3 BHK</v>
      </c>
      <c r="P147" s="5" t="str">
        <f>_xlfn.XLOOKUP(J147,MAPPING!M:M,MAPPING!N:N,"CHECK")</f>
        <v>Long Term Rental</v>
      </c>
      <c r="Q147" s="5">
        <f t="shared" si="15"/>
        <v>28900</v>
      </c>
      <c r="R147" s="5">
        <f t="shared" si="16"/>
        <v>2518</v>
      </c>
      <c r="S147" s="5" t="str">
        <f t="shared" si="17"/>
        <v/>
      </c>
      <c r="T147" s="5"/>
      <c r="U147" s="5"/>
      <c r="V147" s="5"/>
      <c r="W147" s="5">
        <f t="shared" si="18"/>
        <v>0</v>
      </c>
      <c r="X147" s="5" t="str" cm="1">
        <f t="array" ref="X147">IF(W147=0,"",MEDIANIFS($S$2:$S$209,$M$2:$M$209,U147,$N$2:$N$209,V147,$P$2:$P$209,"Resale"))</f>
        <v/>
      </c>
      <c r="Y147" s="5">
        <f t="shared" si="19"/>
        <v>11.477362986497219</v>
      </c>
      <c r="Z147" s="5">
        <f t="shared" si="20"/>
        <v>0</v>
      </c>
      <c r="AA147" s="5" t="str" cm="1">
        <f t="array" ref="AA147">IF(Z147=0,"",MEDIAN(_xlfn._xlws.FILTER($Y$2:$Y$209,($M$2:$M$209=U147)*($N$2:$N$209=V147)*($P$2:$P$209="Long Term Rental")*($Y$2:$Y$209&lt;&gt;""),"")))</f>
        <v/>
      </c>
      <c r="AB147" s="5" t="str">
        <f t="shared" si="21"/>
        <v/>
      </c>
      <c r="AC147" s="5" t="str" cm="1">
        <f t="array" ref="AC147">IFERROR(MEDIAN(_xlfn._xlws.FILTER($Q$2:$Q$209,($M$2:$M$209=U147)*($P$2:$P$209="Short Term Rental")*($Q$2:$Q$209&lt;&gt;""))),"")</f>
        <v/>
      </c>
    </row>
    <row r="148" spans="1:29" ht="15" thickBot="1" x14ac:dyDescent="0.4">
      <c r="A148" s="1" t="s">
        <v>110</v>
      </c>
      <c r="B148" s="2" t="s">
        <v>111</v>
      </c>
      <c r="C148" s="2" t="s">
        <v>112</v>
      </c>
      <c r="D148" s="1" t="s">
        <v>24</v>
      </c>
      <c r="E148" s="1" t="s">
        <v>29</v>
      </c>
      <c r="F148" s="3">
        <v>2478</v>
      </c>
      <c r="G148" s="1" t="s">
        <v>30</v>
      </c>
      <c r="H148" s="3">
        <v>28900</v>
      </c>
      <c r="I148" s="1" t="s">
        <v>17</v>
      </c>
      <c r="J148" s="1" t="s">
        <v>57</v>
      </c>
      <c r="K148" s="1" t="s">
        <v>19</v>
      </c>
      <c r="L148" s="1"/>
      <c r="M148" s="5" t="str">
        <f>_xlfn.XLOOKUP(TRIM(C148),MAPPING!A:A,MAPPING!B:B,"CHECK")</f>
        <v>Kondhwal Valley</v>
      </c>
      <c r="N148" s="5" t="str">
        <f>_xlfn.XLOOKUP(D148,MAPPING!G:G,MAPPING!H:H,"CHECK")</f>
        <v>Villa</v>
      </c>
      <c r="O148" s="5" t="str">
        <f>_xlfn.XLOOKUP(E148,MAPPING!J:J,MAPPING!K:K,"CHECK")</f>
        <v>4 BHK</v>
      </c>
      <c r="P148" s="5" t="str">
        <f>_xlfn.XLOOKUP(J148,MAPPING!M:M,MAPPING!N:N,"CHECK")</f>
        <v>Long Term Rental</v>
      </c>
      <c r="Q148" s="5">
        <f t="shared" si="15"/>
        <v>28900</v>
      </c>
      <c r="R148" s="5">
        <f t="shared" si="16"/>
        <v>2478</v>
      </c>
      <c r="S148" s="5" t="str">
        <f t="shared" si="17"/>
        <v/>
      </c>
      <c r="T148" s="5"/>
      <c r="U148" s="5"/>
      <c r="V148" s="5"/>
      <c r="W148" s="5">
        <f t="shared" si="18"/>
        <v>0</v>
      </c>
      <c r="X148" s="5" t="str" cm="1">
        <f t="array" ref="X148">IF(W148=0,"",MEDIANIFS($S$2:$S$209,$M$2:$M$209,U148,$N$2:$N$209,V148,$P$2:$P$209,"Resale"))</f>
        <v/>
      </c>
      <c r="Y148" s="5">
        <f t="shared" si="19"/>
        <v>11.662631154156578</v>
      </c>
      <c r="Z148" s="5">
        <f t="shared" si="20"/>
        <v>0</v>
      </c>
      <c r="AA148" s="5" t="str" cm="1">
        <f t="array" ref="AA148">IF(Z148=0,"",MEDIAN(_xlfn._xlws.FILTER($Y$2:$Y$209,($M$2:$M$209=U148)*($N$2:$N$209=V148)*($P$2:$P$209="Long Term Rental")*($Y$2:$Y$209&lt;&gt;""),"")))</f>
        <v/>
      </c>
      <c r="AB148" s="5" t="str">
        <f t="shared" si="21"/>
        <v/>
      </c>
      <c r="AC148" s="5" t="str" cm="1">
        <f t="array" ref="AC148">IFERROR(MEDIAN(_xlfn._xlws.FILTER($Q$2:$Q$209,($M$2:$M$209=U148)*($P$2:$P$209="Short Term Rental")*($Q$2:$Q$209&lt;&gt;""))),"")</f>
        <v/>
      </c>
    </row>
    <row r="149" spans="1:29" ht="15" thickBot="1" x14ac:dyDescent="0.4">
      <c r="A149" s="1" t="s">
        <v>307</v>
      </c>
      <c r="B149" s="2" t="s">
        <v>308</v>
      </c>
      <c r="C149" s="1" t="s">
        <v>14</v>
      </c>
      <c r="D149" s="1" t="s">
        <v>15</v>
      </c>
      <c r="E149" s="1" t="s">
        <v>52</v>
      </c>
      <c r="F149" s="3">
        <v>2225</v>
      </c>
      <c r="G149" s="1" t="s">
        <v>30</v>
      </c>
      <c r="H149" s="3">
        <v>26000</v>
      </c>
      <c r="I149" s="1" t="s">
        <v>17</v>
      </c>
      <c r="J149" s="1" t="s">
        <v>57</v>
      </c>
      <c r="K149" s="1" t="s">
        <v>19</v>
      </c>
      <c r="L149" s="1"/>
      <c r="M149" s="5" t="str">
        <f>_xlfn.XLOOKUP(TRIM(C149),MAPPING!A:A,MAPPING!B:B,"CHECK")</f>
        <v>Kondhwal Valley</v>
      </c>
      <c r="N149" s="5" t="str">
        <f>_xlfn.XLOOKUP(D149,MAPPING!G:G,MAPPING!H:H,"CHECK")</f>
        <v>Villa</v>
      </c>
      <c r="O149" s="5" t="str">
        <f>_xlfn.XLOOKUP(E149,MAPPING!J:J,MAPPING!K:K,"CHECK")</f>
        <v>2 BHK</v>
      </c>
      <c r="P149" s="5" t="str">
        <f>_xlfn.XLOOKUP(J149,MAPPING!M:M,MAPPING!N:N,"CHECK")</f>
        <v>Long Term Rental</v>
      </c>
      <c r="Q149" s="5">
        <f t="shared" si="15"/>
        <v>26000</v>
      </c>
      <c r="R149" s="5">
        <f t="shared" si="16"/>
        <v>2225</v>
      </c>
      <c r="S149" s="5" t="str">
        <f t="shared" si="17"/>
        <v/>
      </c>
      <c r="T149" s="5"/>
      <c r="U149" s="5"/>
      <c r="V149" s="5"/>
      <c r="W149" s="5">
        <f t="shared" si="18"/>
        <v>0</v>
      </c>
      <c r="X149" s="5" t="str" cm="1">
        <f t="array" ref="X149">IF(W149=0,"",MEDIANIFS($S$2:$S$209,$M$2:$M$209,U149,$N$2:$N$209,V149,$P$2:$P$209,"Resale"))</f>
        <v/>
      </c>
      <c r="Y149" s="5">
        <f t="shared" si="19"/>
        <v>11.685393258426966</v>
      </c>
      <c r="Z149" s="5">
        <f t="shared" si="20"/>
        <v>0</v>
      </c>
      <c r="AA149" s="5" t="str" cm="1">
        <f t="array" ref="AA149">IF(Z149=0,"",MEDIAN(_xlfn._xlws.FILTER($Y$2:$Y$209,($M$2:$M$209=U149)*($N$2:$N$209=V149)*($P$2:$P$209="Long Term Rental")*($Y$2:$Y$209&lt;&gt;""),"")))</f>
        <v/>
      </c>
      <c r="AB149" s="5" t="str">
        <f t="shared" si="21"/>
        <v/>
      </c>
      <c r="AC149" s="5" t="str" cm="1">
        <f t="array" ref="AC149">IFERROR(MEDIAN(_xlfn._xlws.FILTER($Q$2:$Q$209,($M$2:$M$209=U149)*($P$2:$P$209="Short Term Rental")*($Q$2:$Q$209&lt;&gt;""))),"")</f>
        <v/>
      </c>
    </row>
    <row r="150" spans="1:29" ht="15" thickBot="1" x14ac:dyDescent="0.4">
      <c r="A150" s="1" t="s">
        <v>186</v>
      </c>
      <c r="B150" s="2" t="s">
        <v>69</v>
      </c>
      <c r="C150" s="1" t="s">
        <v>70</v>
      </c>
      <c r="D150" s="2" t="s">
        <v>67</v>
      </c>
      <c r="E150" s="1" t="s">
        <v>71</v>
      </c>
      <c r="F150" s="3">
        <v>2412</v>
      </c>
      <c r="G150" s="1" t="s">
        <v>30</v>
      </c>
      <c r="H150" s="3">
        <v>26100</v>
      </c>
      <c r="I150" s="1" t="s">
        <v>17</v>
      </c>
      <c r="J150" s="1" t="s">
        <v>57</v>
      </c>
      <c r="K150" s="1" t="s">
        <v>19</v>
      </c>
      <c r="L150" s="1"/>
      <c r="M150" s="5" t="str">
        <f>_xlfn.XLOOKUP(TRIM(C150),MAPPING!A:A,MAPPING!B:B,"CHECK")</f>
        <v>Kondhwal Valley</v>
      </c>
      <c r="N150" s="5" t="str">
        <f>_xlfn.XLOOKUP(D150,MAPPING!G:G,MAPPING!H:H,"CHECK")</f>
        <v>Villa</v>
      </c>
      <c r="O150" s="5" t="str">
        <f>_xlfn.XLOOKUP(E150,MAPPING!J:J,MAPPING!K:K,"CHECK")</f>
        <v>2 BHK</v>
      </c>
      <c r="P150" s="5" t="str">
        <f>_xlfn.XLOOKUP(J150,MAPPING!M:M,MAPPING!N:N,"CHECK")</f>
        <v>Long Term Rental</v>
      </c>
      <c r="Q150" s="5">
        <f t="shared" si="15"/>
        <v>26100</v>
      </c>
      <c r="R150" s="5">
        <f t="shared" si="16"/>
        <v>2412</v>
      </c>
      <c r="S150" s="5" t="str">
        <f t="shared" si="17"/>
        <v/>
      </c>
      <c r="T150" s="5"/>
      <c r="U150" s="5"/>
      <c r="V150" s="5"/>
      <c r="W150" s="5">
        <f t="shared" si="18"/>
        <v>0</v>
      </c>
      <c r="X150" s="5" t="str" cm="1">
        <f t="array" ref="X150">IF(W150=0,"",MEDIANIFS($S$2:$S$209,$M$2:$M$209,U150,$N$2:$N$209,V150,$P$2:$P$209,"Resale"))</f>
        <v/>
      </c>
      <c r="Y150" s="5">
        <f t="shared" si="19"/>
        <v>10.82089552238806</v>
      </c>
      <c r="Z150" s="5">
        <f t="shared" si="20"/>
        <v>0</v>
      </c>
      <c r="AA150" s="5" t="str" cm="1">
        <f t="array" ref="AA150">IF(Z150=0,"",MEDIAN(_xlfn._xlws.FILTER($Y$2:$Y$209,($M$2:$M$209=U150)*($N$2:$N$209=V150)*($P$2:$P$209="Long Term Rental")*($Y$2:$Y$209&lt;&gt;""),"")))</f>
        <v/>
      </c>
      <c r="AB150" s="5" t="str">
        <f t="shared" si="21"/>
        <v/>
      </c>
      <c r="AC150" s="5" t="str" cm="1">
        <f t="array" ref="AC150">IFERROR(MEDIAN(_xlfn._xlws.FILTER($Q$2:$Q$209,($M$2:$M$209=U150)*($P$2:$P$209="Short Term Rental")*($Q$2:$Q$209&lt;&gt;""))),"")</f>
        <v/>
      </c>
    </row>
    <row r="151" spans="1:29" ht="15" thickBot="1" x14ac:dyDescent="0.4">
      <c r="A151" s="1" t="s">
        <v>388</v>
      </c>
      <c r="B151" s="1" t="s">
        <v>389</v>
      </c>
      <c r="C151" s="1" t="s">
        <v>77</v>
      </c>
      <c r="D151" s="1" t="s">
        <v>24</v>
      </c>
      <c r="E151" s="1" t="s">
        <v>25</v>
      </c>
      <c r="F151" s="3">
        <v>1065</v>
      </c>
      <c r="G151" s="1" t="s">
        <v>30</v>
      </c>
      <c r="H151" s="3">
        <v>11100</v>
      </c>
      <c r="I151" s="1" t="s">
        <v>17</v>
      </c>
      <c r="J151" s="1" t="s">
        <v>57</v>
      </c>
      <c r="K151" s="1" t="s">
        <v>19</v>
      </c>
      <c r="L151" s="1"/>
      <c r="M151" s="5" t="str">
        <f>_xlfn.XLOOKUP(TRIM(C151),MAPPING!A:A,MAPPING!B:B,"CHECK")</f>
        <v>Kondhwal Valley</v>
      </c>
      <c r="N151" s="5" t="str">
        <f>_xlfn.XLOOKUP(D151,MAPPING!G:G,MAPPING!H:H,"CHECK")</f>
        <v>Villa</v>
      </c>
      <c r="O151" s="5" t="str">
        <f>_xlfn.XLOOKUP(E151,MAPPING!J:J,MAPPING!K:K,"CHECK")</f>
        <v>3 BHK</v>
      </c>
      <c r="P151" s="5" t="str">
        <f>_xlfn.XLOOKUP(J151,MAPPING!M:M,MAPPING!N:N,"CHECK")</f>
        <v>Long Term Rental</v>
      </c>
      <c r="Q151" s="5">
        <f t="shared" si="15"/>
        <v>11100</v>
      </c>
      <c r="R151" s="5">
        <f t="shared" si="16"/>
        <v>1065</v>
      </c>
      <c r="S151" s="5" t="str">
        <f t="shared" si="17"/>
        <v/>
      </c>
      <c r="T151" s="5"/>
      <c r="U151" s="5"/>
      <c r="V151" s="5"/>
      <c r="W151" s="5">
        <f t="shared" si="18"/>
        <v>0</v>
      </c>
      <c r="X151" s="5" t="str" cm="1">
        <f t="array" ref="X151">IF(W151=0,"",MEDIANIFS($S$2:$S$209,$M$2:$M$209,U151,$N$2:$N$209,V151,$P$2:$P$209,"Resale"))</f>
        <v/>
      </c>
      <c r="Y151" s="5">
        <f t="shared" si="19"/>
        <v>10.422535211267606</v>
      </c>
      <c r="Z151" s="5">
        <f t="shared" si="20"/>
        <v>0</v>
      </c>
      <c r="AA151" s="5" t="str" cm="1">
        <f t="array" ref="AA151">IF(Z151=0,"",MEDIAN(_xlfn._xlws.FILTER($Y$2:$Y$209,($M$2:$M$209=U151)*($N$2:$N$209=V151)*($P$2:$P$209="Long Term Rental")*($Y$2:$Y$209&lt;&gt;""),"")))</f>
        <v/>
      </c>
      <c r="AB151" s="5" t="str">
        <f t="shared" si="21"/>
        <v/>
      </c>
      <c r="AC151" s="5" t="str" cm="1">
        <f t="array" ref="AC151">IFERROR(MEDIAN(_xlfn._xlws.FILTER($Q$2:$Q$209,($M$2:$M$209=U151)*($P$2:$P$209="Short Term Rental")*($Q$2:$Q$209&lt;&gt;""))),"")</f>
        <v/>
      </c>
    </row>
    <row r="152" spans="1:29" ht="15" thickBot="1" x14ac:dyDescent="0.4">
      <c r="A152" s="1" t="s">
        <v>303</v>
      </c>
      <c r="B152" s="2" t="s">
        <v>304</v>
      </c>
      <c r="C152" s="2" t="s">
        <v>112</v>
      </c>
      <c r="D152" s="2" t="s">
        <v>67</v>
      </c>
      <c r="E152" s="1" t="s">
        <v>25</v>
      </c>
      <c r="F152" s="3">
        <v>1870</v>
      </c>
      <c r="G152" s="1" t="s">
        <v>30</v>
      </c>
      <c r="H152" s="3">
        <v>19400</v>
      </c>
      <c r="I152" s="1" t="s">
        <v>17</v>
      </c>
      <c r="J152" s="1" t="s">
        <v>57</v>
      </c>
      <c r="K152" s="1" t="s">
        <v>19</v>
      </c>
      <c r="L152" s="1"/>
      <c r="M152" s="5" t="str">
        <f>_xlfn.XLOOKUP(TRIM(C152),MAPPING!A:A,MAPPING!B:B,"CHECK")</f>
        <v>Kondhwal Valley</v>
      </c>
      <c r="N152" s="5" t="str">
        <f>_xlfn.XLOOKUP(D152,MAPPING!G:G,MAPPING!H:H,"CHECK")</f>
        <v>Villa</v>
      </c>
      <c r="O152" s="5" t="str">
        <f>_xlfn.XLOOKUP(E152,MAPPING!J:J,MAPPING!K:K,"CHECK")</f>
        <v>3 BHK</v>
      </c>
      <c r="P152" s="5" t="str">
        <f>_xlfn.XLOOKUP(J152,MAPPING!M:M,MAPPING!N:N,"CHECK")</f>
        <v>Long Term Rental</v>
      </c>
      <c r="Q152" s="5">
        <f t="shared" si="15"/>
        <v>19400</v>
      </c>
      <c r="R152" s="5">
        <f t="shared" si="16"/>
        <v>1870</v>
      </c>
      <c r="S152" s="5" t="str">
        <f t="shared" si="17"/>
        <v/>
      </c>
      <c r="T152" s="5"/>
      <c r="U152" s="5"/>
      <c r="V152" s="5"/>
      <c r="W152" s="5">
        <f t="shared" si="18"/>
        <v>0</v>
      </c>
      <c r="X152" s="5" t="str" cm="1">
        <f t="array" ref="X152">IF(W152=0,"",MEDIANIFS($S$2:$S$209,$M$2:$M$209,U152,$N$2:$N$209,V152,$P$2:$P$209,"Resale"))</f>
        <v/>
      </c>
      <c r="Y152" s="5">
        <f t="shared" si="19"/>
        <v>10.37433155080214</v>
      </c>
      <c r="Z152" s="5">
        <f t="shared" si="20"/>
        <v>0</v>
      </c>
      <c r="AA152" s="5" t="str" cm="1">
        <f t="array" ref="AA152">IF(Z152=0,"",MEDIAN(_xlfn._xlws.FILTER($Y$2:$Y$209,($M$2:$M$209=U152)*($N$2:$N$209=V152)*($P$2:$P$209="Long Term Rental")*($Y$2:$Y$209&lt;&gt;""),"")))</f>
        <v/>
      </c>
      <c r="AB152" s="5" t="str">
        <f t="shared" si="21"/>
        <v/>
      </c>
      <c r="AC152" s="5" t="str" cm="1">
        <f t="array" ref="AC152">IFERROR(MEDIAN(_xlfn._xlws.FILTER($Q$2:$Q$209,($M$2:$M$209=U152)*($P$2:$P$209="Short Term Rental")*($Q$2:$Q$209&lt;&gt;""))),"")</f>
        <v/>
      </c>
    </row>
    <row r="153" spans="1:29" ht="15" thickBot="1" x14ac:dyDescent="0.4">
      <c r="A153" s="1" t="s">
        <v>134</v>
      </c>
      <c r="B153" s="2" t="s">
        <v>135</v>
      </c>
      <c r="C153" s="2" t="s">
        <v>112</v>
      </c>
      <c r="D153" s="2" t="s">
        <v>67</v>
      </c>
      <c r="E153" s="1" t="s">
        <v>52</v>
      </c>
      <c r="F153" s="3">
        <v>2408</v>
      </c>
      <c r="G153" s="1" t="s">
        <v>30</v>
      </c>
      <c r="H153" s="3">
        <v>28800</v>
      </c>
      <c r="I153" s="1" t="s">
        <v>17</v>
      </c>
      <c r="J153" s="1" t="s">
        <v>57</v>
      </c>
      <c r="K153" s="1" t="s">
        <v>19</v>
      </c>
      <c r="L153" s="1"/>
      <c r="M153" s="5" t="str">
        <f>_xlfn.XLOOKUP(TRIM(C153),MAPPING!A:A,MAPPING!B:B,"CHECK")</f>
        <v>Kondhwal Valley</v>
      </c>
      <c r="N153" s="5" t="str">
        <f>_xlfn.XLOOKUP(D153,MAPPING!G:G,MAPPING!H:H,"CHECK")</f>
        <v>Villa</v>
      </c>
      <c r="O153" s="5" t="str">
        <f>_xlfn.XLOOKUP(E153,MAPPING!J:J,MAPPING!K:K,"CHECK")</f>
        <v>2 BHK</v>
      </c>
      <c r="P153" s="5" t="str">
        <f>_xlfn.XLOOKUP(J153,MAPPING!M:M,MAPPING!N:N,"CHECK")</f>
        <v>Long Term Rental</v>
      </c>
      <c r="Q153" s="5">
        <f t="shared" si="15"/>
        <v>28800</v>
      </c>
      <c r="R153" s="5">
        <f t="shared" si="16"/>
        <v>2408</v>
      </c>
      <c r="S153" s="5" t="str">
        <f t="shared" si="17"/>
        <v/>
      </c>
      <c r="T153" s="5"/>
      <c r="U153" s="5"/>
      <c r="V153" s="5"/>
      <c r="W153" s="5">
        <f t="shared" si="18"/>
        <v>0</v>
      </c>
      <c r="X153" s="5" t="str" cm="1">
        <f t="array" ref="X153">IF(W153=0,"",MEDIANIFS($S$2:$S$209,$M$2:$M$209,U153,$N$2:$N$209,V153,$P$2:$P$209,"Resale"))</f>
        <v/>
      </c>
      <c r="Y153" s="5">
        <f t="shared" si="19"/>
        <v>11.960132890365449</v>
      </c>
      <c r="Z153" s="5">
        <f t="shared" si="20"/>
        <v>0</v>
      </c>
      <c r="AA153" s="5" t="str" cm="1">
        <f t="array" ref="AA153">IF(Z153=0,"",MEDIAN(_xlfn._xlws.FILTER($Y$2:$Y$209,($M$2:$M$209=U153)*($N$2:$N$209=V153)*($P$2:$P$209="Long Term Rental")*($Y$2:$Y$209&lt;&gt;""),"")))</f>
        <v/>
      </c>
      <c r="AB153" s="5" t="str">
        <f t="shared" si="21"/>
        <v/>
      </c>
      <c r="AC153" s="5" t="str" cm="1">
        <f t="array" ref="AC153">IFERROR(MEDIAN(_xlfn._xlws.FILTER($Q$2:$Q$209,($M$2:$M$209=U153)*($P$2:$P$209="Short Term Rental")*($Q$2:$Q$209&lt;&gt;""))),"")</f>
        <v/>
      </c>
    </row>
    <row r="154" spans="1:29" ht="15" thickBot="1" x14ac:dyDescent="0.4">
      <c r="A154" s="1" t="s">
        <v>249</v>
      </c>
      <c r="B154" s="2" t="s">
        <v>250</v>
      </c>
      <c r="C154" s="1" t="s">
        <v>14</v>
      </c>
      <c r="D154" s="1" t="s">
        <v>24</v>
      </c>
      <c r="E154" s="1" t="s">
        <v>52</v>
      </c>
      <c r="F154" s="3">
        <v>1164</v>
      </c>
      <c r="G154" s="1" t="s">
        <v>30</v>
      </c>
      <c r="H154" s="3">
        <v>12700</v>
      </c>
      <c r="I154" s="1" t="s">
        <v>17</v>
      </c>
      <c r="J154" s="1" t="s">
        <v>57</v>
      </c>
      <c r="K154" s="1" t="s">
        <v>19</v>
      </c>
      <c r="L154" s="1"/>
      <c r="M154" s="5" t="str">
        <f>_xlfn.XLOOKUP(TRIM(C154),MAPPING!A:A,MAPPING!B:B,"CHECK")</f>
        <v>Kondhwal Valley</v>
      </c>
      <c r="N154" s="5" t="str">
        <f>_xlfn.XLOOKUP(D154,MAPPING!G:G,MAPPING!H:H,"CHECK")</f>
        <v>Villa</v>
      </c>
      <c r="O154" s="5" t="str">
        <f>_xlfn.XLOOKUP(E154,MAPPING!J:J,MAPPING!K:K,"CHECK")</f>
        <v>2 BHK</v>
      </c>
      <c r="P154" s="5" t="str">
        <f>_xlfn.XLOOKUP(J154,MAPPING!M:M,MAPPING!N:N,"CHECK")</f>
        <v>Long Term Rental</v>
      </c>
      <c r="Q154" s="5">
        <f t="shared" si="15"/>
        <v>12700</v>
      </c>
      <c r="R154" s="5">
        <f t="shared" si="16"/>
        <v>1164</v>
      </c>
      <c r="S154" s="5" t="str">
        <f t="shared" si="17"/>
        <v/>
      </c>
      <c r="T154" s="5"/>
      <c r="U154" s="5"/>
      <c r="V154" s="5"/>
      <c r="W154" s="5">
        <f t="shared" si="18"/>
        <v>0</v>
      </c>
      <c r="X154" s="5" t="str" cm="1">
        <f t="array" ref="X154">IF(W154=0,"",MEDIANIFS($S$2:$S$209,$M$2:$M$209,U154,$N$2:$N$209,V154,$P$2:$P$209,"Resale"))</f>
        <v/>
      </c>
      <c r="Y154" s="5">
        <f t="shared" si="19"/>
        <v>10.9106529209622</v>
      </c>
      <c r="Z154" s="5">
        <f t="shared" si="20"/>
        <v>0</v>
      </c>
      <c r="AA154" s="5" t="str" cm="1">
        <f t="array" ref="AA154">IF(Z154=0,"",MEDIAN(_xlfn._xlws.FILTER($Y$2:$Y$209,($M$2:$M$209=U154)*($N$2:$N$209=V154)*($P$2:$P$209="Long Term Rental")*($Y$2:$Y$209&lt;&gt;""),"")))</f>
        <v/>
      </c>
      <c r="AB154" s="5" t="str">
        <f t="shared" si="21"/>
        <v/>
      </c>
      <c r="AC154" s="5" t="str" cm="1">
        <f t="array" ref="AC154">IFERROR(MEDIAN(_xlfn._xlws.FILTER($Q$2:$Q$209,($M$2:$M$209=U154)*($P$2:$P$209="Short Term Rental")*($Q$2:$Q$209&lt;&gt;""))),"")</f>
        <v/>
      </c>
    </row>
    <row r="155" spans="1:29" ht="15" thickBot="1" x14ac:dyDescent="0.4">
      <c r="A155" s="1" t="s">
        <v>68</v>
      </c>
      <c r="B155" s="2" t="s">
        <v>69</v>
      </c>
      <c r="C155" s="1" t="s">
        <v>70</v>
      </c>
      <c r="D155" s="2" t="s">
        <v>67</v>
      </c>
      <c r="E155" s="1" t="s">
        <v>71</v>
      </c>
      <c r="F155" s="3">
        <v>2219</v>
      </c>
      <c r="G155" s="1" t="s">
        <v>30</v>
      </c>
      <c r="H155" s="3">
        <v>26100</v>
      </c>
      <c r="I155" s="1" t="s">
        <v>17</v>
      </c>
      <c r="J155" s="1" t="s">
        <v>57</v>
      </c>
      <c r="K155" s="1" t="s">
        <v>19</v>
      </c>
      <c r="L155" s="1"/>
      <c r="M155" s="5" t="str">
        <f>_xlfn.XLOOKUP(TRIM(C155),MAPPING!A:A,MAPPING!B:B,"CHECK")</f>
        <v>Kondhwal Valley</v>
      </c>
      <c r="N155" s="5" t="str">
        <f>_xlfn.XLOOKUP(D155,MAPPING!G:G,MAPPING!H:H,"CHECK")</f>
        <v>Villa</v>
      </c>
      <c r="O155" s="5" t="str">
        <f>_xlfn.XLOOKUP(E155,MAPPING!J:J,MAPPING!K:K,"CHECK")</f>
        <v>2 BHK</v>
      </c>
      <c r="P155" s="5" t="str">
        <f>_xlfn.XLOOKUP(J155,MAPPING!M:M,MAPPING!N:N,"CHECK")</f>
        <v>Long Term Rental</v>
      </c>
      <c r="Q155" s="5">
        <f t="shared" si="15"/>
        <v>26100</v>
      </c>
      <c r="R155" s="5">
        <f t="shared" si="16"/>
        <v>2219</v>
      </c>
      <c r="S155" s="5" t="str">
        <f t="shared" si="17"/>
        <v/>
      </c>
      <c r="T155" s="5"/>
      <c r="U155" s="5"/>
      <c r="V155" s="5"/>
      <c r="W155" s="5">
        <f t="shared" si="18"/>
        <v>0</v>
      </c>
      <c r="X155" s="5" t="str" cm="1">
        <f t="array" ref="X155">IF(W155=0,"",MEDIANIFS($S$2:$S$209,$M$2:$M$209,U155,$N$2:$N$209,V155,$P$2:$P$209,"Resale"))</f>
        <v/>
      </c>
      <c r="Y155" s="5">
        <f t="shared" si="19"/>
        <v>11.762054979720595</v>
      </c>
      <c r="Z155" s="5">
        <f t="shared" si="20"/>
        <v>0</v>
      </c>
      <c r="AA155" s="5" t="str" cm="1">
        <f t="array" ref="AA155">IF(Z155=0,"",MEDIAN(_xlfn._xlws.FILTER($Y$2:$Y$209,($M$2:$M$209=U155)*($N$2:$N$209=V155)*($P$2:$P$209="Long Term Rental")*($Y$2:$Y$209&lt;&gt;""),"")))</f>
        <v/>
      </c>
      <c r="AB155" s="5" t="str">
        <f t="shared" si="21"/>
        <v/>
      </c>
      <c r="AC155" s="5" t="str" cm="1">
        <f t="array" ref="AC155">IFERROR(MEDIAN(_xlfn._xlws.FILTER($Q$2:$Q$209,($M$2:$M$209=U155)*($P$2:$P$209="Short Term Rental")*($Q$2:$Q$209&lt;&gt;""))),"")</f>
        <v/>
      </c>
    </row>
    <row r="156" spans="1:29" ht="15" thickBot="1" x14ac:dyDescent="0.4">
      <c r="A156" s="1" t="s">
        <v>12</v>
      </c>
      <c r="B156" s="2" t="s">
        <v>13</v>
      </c>
      <c r="C156" s="1" t="s">
        <v>14</v>
      </c>
      <c r="D156" s="1" t="s">
        <v>15</v>
      </c>
      <c r="E156" s="1" t="s">
        <v>16</v>
      </c>
      <c r="F156" s="1"/>
      <c r="G156" s="1"/>
      <c r="H156" s="3">
        <v>3300</v>
      </c>
      <c r="I156" s="1" t="s">
        <v>17</v>
      </c>
      <c r="J156" s="1" t="s">
        <v>18</v>
      </c>
      <c r="K156" s="1" t="s">
        <v>19</v>
      </c>
      <c r="L156" s="1" t="s">
        <v>20</v>
      </c>
      <c r="M156" s="5" t="str">
        <f>_xlfn.XLOOKUP(TRIM(C156),MAPPING!A:A,MAPPING!B:B,"CHECK")</f>
        <v>Kondhwal Valley</v>
      </c>
      <c r="N156" s="5" t="str">
        <f>_xlfn.XLOOKUP(D156,MAPPING!G:G,MAPPING!H:H,"CHECK")</f>
        <v>Villa</v>
      </c>
      <c r="O156" s="5" t="str">
        <f>_xlfn.XLOOKUP(E156,MAPPING!J:J,MAPPING!K:K,"CHECK")</f>
        <v>3 BHK</v>
      </c>
      <c r="P156" s="5" t="str">
        <f>_xlfn.XLOOKUP(J156,MAPPING!M:M,MAPPING!N:N,"CHECK")</f>
        <v>Short Term Rental</v>
      </c>
      <c r="Q156" s="5">
        <f t="shared" si="15"/>
        <v>3300</v>
      </c>
      <c r="R156" s="5" t="str">
        <f t="shared" si="16"/>
        <v/>
      </c>
      <c r="S156" s="5" t="str">
        <f t="shared" si="17"/>
        <v/>
      </c>
      <c r="T156" s="5"/>
      <c r="U156" s="5"/>
      <c r="V156" s="5"/>
      <c r="W156" s="5">
        <f t="shared" si="18"/>
        <v>0</v>
      </c>
      <c r="X156" s="5" t="str" cm="1">
        <f t="array" ref="X156">IF(W156=0,"",MEDIANIFS($S$2:$S$209,$M$2:$M$209,U156,$N$2:$N$209,V156,$P$2:$P$209,"Resale"))</f>
        <v/>
      </c>
      <c r="Y156" s="5" t="str">
        <f t="shared" si="19"/>
        <v/>
      </c>
      <c r="Z156" s="5">
        <f t="shared" si="20"/>
        <v>0</v>
      </c>
      <c r="AA156" s="5" t="str" cm="1">
        <f t="array" ref="AA156">IF(Z156=0,"",MEDIAN(_xlfn._xlws.FILTER($Y$2:$Y$209,($M$2:$M$209=U156)*($N$2:$N$209=V156)*($P$2:$P$209="Long Term Rental")*($Y$2:$Y$209&lt;&gt;""),"")))</f>
        <v/>
      </c>
      <c r="AB156" s="5" t="str">
        <f t="shared" si="21"/>
        <v/>
      </c>
      <c r="AC156" s="5" t="str" cm="1">
        <f t="array" ref="AC156">IFERROR(MEDIAN(_xlfn._xlws.FILTER($Q$2:$Q$209,($M$2:$M$209=U156)*($P$2:$P$209="Short Term Rental")*($Q$2:$Q$209&lt;&gt;""))),"")</f>
        <v/>
      </c>
    </row>
    <row r="157" spans="1:29" ht="15" thickBot="1" x14ac:dyDescent="0.4">
      <c r="A157" s="1" t="s">
        <v>419</v>
      </c>
      <c r="B157" s="2" t="s">
        <v>420</v>
      </c>
      <c r="C157" s="1" t="s">
        <v>77</v>
      </c>
      <c r="D157" s="1" t="s">
        <v>15</v>
      </c>
      <c r="E157" s="1" t="s">
        <v>48</v>
      </c>
      <c r="F157" s="1"/>
      <c r="G157" s="1"/>
      <c r="H157" s="3">
        <v>6300</v>
      </c>
      <c r="I157" s="1" t="s">
        <v>17</v>
      </c>
      <c r="J157" s="1" t="s">
        <v>18</v>
      </c>
      <c r="K157" s="1" t="s">
        <v>19</v>
      </c>
      <c r="L157" s="1" t="s">
        <v>20</v>
      </c>
      <c r="M157" s="5" t="str">
        <f>_xlfn.XLOOKUP(TRIM(C157),MAPPING!A:A,MAPPING!B:B,"CHECK")</f>
        <v>Kondhwal Valley</v>
      </c>
      <c r="N157" s="5" t="str">
        <f>_xlfn.XLOOKUP(D157,MAPPING!G:G,MAPPING!H:H,"CHECK")</f>
        <v>Villa</v>
      </c>
      <c r="O157" s="5" t="str">
        <f>_xlfn.XLOOKUP(E157,MAPPING!J:J,MAPPING!K:K,"CHECK")</f>
        <v>2 BHK</v>
      </c>
      <c r="P157" s="5" t="str">
        <f>_xlfn.XLOOKUP(J157,MAPPING!M:M,MAPPING!N:N,"CHECK")</f>
        <v>Short Term Rental</v>
      </c>
      <c r="Q157" s="5">
        <f t="shared" si="15"/>
        <v>6300</v>
      </c>
      <c r="R157" s="5" t="str">
        <f t="shared" si="16"/>
        <v/>
      </c>
      <c r="S157" s="5" t="str">
        <f t="shared" si="17"/>
        <v/>
      </c>
      <c r="T157" s="5"/>
      <c r="U157" s="5"/>
      <c r="V157" s="5"/>
      <c r="W157" s="5">
        <f t="shared" si="18"/>
        <v>0</v>
      </c>
      <c r="X157" s="5" t="str" cm="1">
        <f t="array" ref="X157">IF(W157=0,"",MEDIANIFS($S$2:$S$209,$M$2:$M$209,U157,$N$2:$N$209,V157,$P$2:$P$209,"Resale"))</f>
        <v/>
      </c>
      <c r="Y157" s="5" t="str">
        <f t="shared" si="19"/>
        <v/>
      </c>
      <c r="Z157" s="5">
        <f t="shared" si="20"/>
        <v>0</v>
      </c>
      <c r="AA157" s="5" t="str" cm="1">
        <f t="array" ref="AA157">IF(Z157=0,"",MEDIAN(_xlfn._xlws.FILTER($Y$2:$Y$209,($M$2:$M$209=U157)*($N$2:$N$209=V157)*($P$2:$P$209="Long Term Rental")*($Y$2:$Y$209&lt;&gt;""),"")))</f>
        <v/>
      </c>
      <c r="AB157" s="5" t="str">
        <f t="shared" si="21"/>
        <v/>
      </c>
      <c r="AC157" s="5" t="str" cm="1">
        <f t="array" ref="AC157">IFERROR(MEDIAN(_xlfn._xlws.FILTER($Q$2:$Q$209,($M$2:$M$209=U157)*($P$2:$P$209="Short Term Rental")*($Q$2:$Q$209&lt;&gt;""))),"")</f>
        <v/>
      </c>
    </row>
    <row r="158" spans="1:29" ht="15" thickBot="1" x14ac:dyDescent="0.4">
      <c r="A158" s="1" t="s">
        <v>253</v>
      </c>
      <c r="B158" s="2" t="s">
        <v>254</v>
      </c>
      <c r="C158" s="2" t="s">
        <v>112</v>
      </c>
      <c r="D158" s="1" t="s">
        <v>47</v>
      </c>
      <c r="E158" s="1" t="s">
        <v>25</v>
      </c>
      <c r="F158" s="1"/>
      <c r="G158" s="1"/>
      <c r="H158" s="3">
        <v>6900</v>
      </c>
      <c r="I158" s="1" t="s">
        <v>17</v>
      </c>
      <c r="J158" s="1" t="s">
        <v>18</v>
      </c>
      <c r="K158" s="1" t="s">
        <v>19</v>
      </c>
      <c r="L158" s="1" t="s">
        <v>20</v>
      </c>
      <c r="M158" s="5" t="str">
        <f>_xlfn.XLOOKUP(TRIM(C158),MAPPING!A:A,MAPPING!B:B,"CHECK")</f>
        <v>Kondhwal Valley</v>
      </c>
      <c r="N158" s="5" t="str">
        <f>_xlfn.XLOOKUP(D158,MAPPING!G:G,MAPPING!H:H,"CHECK")</f>
        <v>Villa</v>
      </c>
      <c r="O158" s="5" t="str">
        <f>_xlfn.XLOOKUP(E158,MAPPING!J:J,MAPPING!K:K,"CHECK")</f>
        <v>3 BHK</v>
      </c>
      <c r="P158" s="5" t="str">
        <f>_xlfn.XLOOKUP(J158,MAPPING!M:M,MAPPING!N:N,"CHECK")</f>
        <v>Short Term Rental</v>
      </c>
      <c r="Q158" s="5">
        <f t="shared" si="15"/>
        <v>6900</v>
      </c>
      <c r="R158" s="5" t="str">
        <f t="shared" si="16"/>
        <v/>
      </c>
      <c r="S158" s="5" t="str">
        <f t="shared" si="17"/>
        <v/>
      </c>
      <c r="T158" s="5"/>
      <c r="U158" s="5"/>
      <c r="V158" s="5"/>
      <c r="W158" s="5">
        <f t="shared" si="18"/>
        <v>0</v>
      </c>
      <c r="X158" s="5" t="str" cm="1">
        <f t="array" ref="X158">IF(W158=0,"",MEDIANIFS($S$2:$S$209,$M$2:$M$209,U158,$N$2:$N$209,V158,$P$2:$P$209,"Resale"))</f>
        <v/>
      </c>
      <c r="Y158" s="5" t="str">
        <f t="shared" si="19"/>
        <v/>
      </c>
      <c r="Z158" s="5">
        <f t="shared" si="20"/>
        <v>0</v>
      </c>
      <c r="AA158" s="5" t="str" cm="1">
        <f t="array" ref="AA158">IF(Z158=0,"",MEDIAN(_xlfn._xlws.FILTER($Y$2:$Y$209,($M$2:$M$209=U158)*($N$2:$N$209=V158)*($P$2:$P$209="Long Term Rental")*($Y$2:$Y$209&lt;&gt;""),"")))</f>
        <v/>
      </c>
      <c r="AB158" s="5" t="str">
        <f t="shared" si="21"/>
        <v/>
      </c>
      <c r="AC158" s="5" t="str" cm="1">
        <f t="array" ref="AC158">IFERROR(MEDIAN(_xlfn._xlws.FILTER($Q$2:$Q$209,($M$2:$M$209=U158)*($P$2:$P$209="Short Term Rental")*($Q$2:$Q$209&lt;&gt;""))),"")</f>
        <v/>
      </c>
    </row>
    <row r="159" spans="1:29" ht="15" thickBot="1" x14ac:dyDescent="0.4">
      <c r="A159" s="1" t="s">
        <v>170</v>
      </c>
      <c r="B159" s="2" t="s">
        <v>171</v>
      </c>
      <c r="C159" s="1" t="s">
        <v>77</v>
      </c>
      <c r="D159" s="1" t="s">
        <v>24</v>
      </c>
      <c r="E159" s="1" t="s">
        <v>52</v>
      </c>
      <c r="F159" s="1"/>
      <c r="G159" s="1"/>
      <c r="H159" s="3">
        <v>6900</v>
      </c>
      <c r="I159" s="1" t="s">
        <v>17</v>
      </c>
      <c r="J159" s="1" t="s">
        <v>18</v>
      </c>
      <c r="K159" s="1" t="s">
        <v>19</v>
      </c>
      <c r="L159" s="1" t="s">
        <v>20</v>
      </c>
      <c r="M159" s="5" t="str">
        <f>_xlfn.XLOOKUP(TRIM(C159),MAPPING!A:A,MAPPING!B:B,"CHECK")</f>
        <v>Kondhwal Valley</v>
      </c>
      <c r="N159" s="5" t="str">
        <f>_xlfn.XLOOKUP(D159,MAPPING!G:G,MAPPING!H:H,"CHECK")</f>
        <v>Villa</v>
      </c>
      <c r="O159" s="5" t="str">
        <f>_xlfn.XLOOKUP(E159,MAPPING!J:J,MAPPING!K:K,"CHECK")</f>
        <v>2 BHK</v>
      </c>
      <c r="P159" s="5" t="str">
        <f>_xlfn.XLOOKUP(J159,MAPPING!M:M,MAPPING!N:N,"CHECK")</f>
        <v>Short Term Rental</v>
      </c>
      <c r="Q159" s="5">
        <f t="shared" si="15"/>
        <v>6900</v>
      </c>
      <c r="R159" s="5" t="str">
        <f t="shared" si="16"/>
        <v/>
      </c>
      <c r="S159" s="5" t="str">
        <f t="shared" si="17"/>
        <v/>
      </c>
      <c r="T159" s="5"/>
      <c r="U159" s="5"/>
      <c r="V159" s="5"/>
      <c r="W159" s="5">
        <f t="shared" si="18"/>
        <v>0</v>
      </c>
      <c r="X159" s="5" t="str" cm="1">
        <f t="array" ref="X159">IF(W159=0,"",MEDIANIFS($S$2:$S$209,$M$2:$M$209,U159,$N$2:$N$209,V159,$P$2:$P$209,"Resale"))</f>
        <v/>
      </c>
      <c r="Y159" s="5" t="str">
        <f t="shared" si="19"/>
        <v/>
      </c>
      <c r="Z159" s="5">
        <f t="shared" si="20"/>
        <v>0</v>
      </c>
      <c r="AA159" s="5" t="str" cm="1">
        <f t="array" ref="AA159">IF(Z159=0,"",MEDIAN(_xlfn._xlws.FILTER($Y$2:$Y$209,($M$2:$M$209=U159)*($N$2:$N$209=V159)*($P$2:$P$209="Long Term Rental")*($Y$2:$Y$209&lt;&gt;""),"")))</f>
        <v/>
      </c>
      <c r="AB159" s="5" t="str">
        <f t="shared" si="21"/>
        <v/>
      </c>
      <c r="AC159" s="5" t="str" cm="1">
        <f t="array" ref="AC159">IFERROR(MEDIAN(_xlfn._xlws.FILTER($Q$2:$Q$209,($M$2:$M$209=U159)*($P$2:$P$209="Short Term Rental")*($Q$2:$Q$209&lt;&gt;""))),"")</f>
        <v/>
      </c>
    </row>
    <row r="160" spans="1:29" ht="15" thickBot="1" x14ac:dyDescent="0.4">
      <c r="A160" s="1" t="s">
        <v>158</v>
      </c>
      <c r="B160" s="2" t="s">
        <v>159</v>
      </c>
      <c r="C160" s="1" t="s">
        <v>14</v>
      </c>
      <c r="D160" s="1" t="s">
        <v>47</v>
      </c>
      <c r="E160" s="1" t="s">
        <v>16</v>
      </c>
      <c r="F160" s="1"/>
      <c r="G160" s="1"/>
      <c r="H160" s="3">
        <v>5900</v>
      </c>
      <c r="I160" s="1" t="s">
        <v>17</v>
      </c>
      <c r="J160" s="1" t="s">
        <v>18</v>
      </c>
      <c r="K160" s="1" t="s">
        <v>19</v>
      </c>
      <c r="L160" s="1" t="s">
        <v>20</v>
      </c>
      <c r="M160" s="5" t="str">
        <f>_xlfn.XLOOKUP(TRIM(C160),MAPPING!A:A,MAPPING!B:B,"CHECK")</f>
        <v>Kondhwal Valley</v>
      </c>
      <c r="N160" s="5" t="str">
        <f>_xlfn.XLOOKUP(D160,MAPPING!G:G,MAPPING!H:H,"CHECK")</f>
        <v>Villa</v>
      </c>
      <c r="O160" s="5" t="str">
        <f>_xlfn.XLOOKUP(E160,MAPPING!J:J,MAPPING!K:K,"CHECK")</f>
        <v>3 BHK</v>
      </c>
      <c r="P160" s="5" t="str">
        <f>_xlfn.XLOOKUP(J160,MAPPING!M:M,MAPPING!N:N,"CHECK")</f>
        <v>Short Term Rental</v>
      </c>
      <c r="Q160" s="5">
        <f t="shared" si="15"/>
        <v>5900</v>
      </c>
      <c r="R160" s="5" t="str">
        <f t="shared" si="16"/>
        <v/>
      </c>
      <c r="S160" s="5" t="str">
        <f t="shared" si="17"/>
        <v/>
      </c>
      <c r="T160" s="5"/>
      <c r="U160" s="5"/>
      <c r="V160" s="5"/>
      <c r="W160" s="5">
        <f t="shared" si="18"/>
        <v>0</v>
      </c>
      <c r="X160" s="5" t="str" cm="1">
        <f t="array" ref="X160">IF(W160=0,"",MEDIANIFS($S$2:$S$209,$M$2:$M$209,U160,$N$2:$N$209,V160,$P$2:$P$209,"Resale"))</f>
        <v/>
      </c>
      <c r="Y160" s="5" t="str">
        <f t="shared" si="19"/>
        <v/>
      </c>
      <c r="Z160" s="5">
        <f t="shared" si="20"/>
        <v>0</v>
      </c>
      <c r="AA160" s="5" t="str" cm="1">
        <f t="array" ref="AA160">IF(Z160=0,"",MEDIAN(_xlfn._xlws.FILTER($Y$2:$Y$209,($M$2:$M$209=U160)*($N$2:$N$209=V160)*($P$2:$P$209="Long Term Rental")*($Y$2:$Y$209&lt;&gt;""),"")))</f>
        <v/>
      </c>
      <c r="AB160" s="5" t="str">
        <f t="shared" si="21"/>
        <v/>
      </c>
      <c r="AC160" s="5" t="str" cm="1">
        <f t="array" ref="AC160">IFERROR(MEDIAN(_xlfn._xlws.FILTER($Q$2:$Q$209,($M$2:$M$209=U160)*($P$2:$P$209="Short Term Rental")*($Q$2:$Q$209&lt;&gt;""))),"")</f>
        <v/>
      </c>
    </row>
    <row r="161" spans="1:29" ht="15" thickBot="1" x14ac:dyDescent="0.4">
      <c r="A161" s="1" t="s">
        <v>369</v>
      </c>
      <c r="B161" s="2" t="s">
        <v>370</v>
      </c>
      <c r="C161" s="1" t="s">
        <v>14</v>
      </c>
      <c r="D161" s="1" t="s">
        <v>15</v>
      </c>
      <c r="E161" s="1" t="s">
        <v>25</v>
      </c>
      <c r="F161" s="1"/>
      <c r="G161" s="1"/>
      <c r="H161" s="3">
        <v>6300</v>
      </c>
      <c r="I161" s="1" t="s">
        <v>17</v>
      </c>
      <c r="J161" s="1" t="s">
        <v>18</v>
      </c>
      <c r="K161" s="1" t="s">
        <v>19</v>
      </c>
      <c r="L161" s="1" t="s">
        <v>20</v>
      </c>
      <c r="M161" s="5" t="str">
        <f>_xlfn.XLOOKUP(TRIM(C161),MAPPING!A:A,MAPPING!B:B,"CHECK")</f>
        <v>Kondhwal Valley</v>
      </c>
      <c r="N161" s="5" t="str">
        <f>_xlfn.XLOOKUP(D161,MAPPING!G:G,MAPPING!H:H,"CHECK")</f>
        <v>Villa</v>
      </c>
      <c r="O161" s="5" t="str">
        <f>_xlfn.XLOOKUP(E161,MAPPING!J:J,MAPPING!K:K,"CHECK")</f>
        <v>3 BHK</v>
      </c>
      <c r="P161" s="5" t="str">
        <f>_xlfn.XLOOKUP(J161,MAPPING!M:M,MAPPING!N:N,"CHECK")</f>
        <v>Short Term Rental</v>
      </c>
      <c r="Q161" s="5">
        <f t="shared" si="15"/>
        <v>6300</v>
      </c>
      <c r="R161" s="5" t="str">
        <f t="shared" si="16"/>
        <v/>
      </c>
      <c r="S161" s="5" t="str">
        <f t="shared" si="17"/>
        <v/>
      </c>
      <c r="T161" s="5"/>
      <c r="U161" s="5"/>
      <c r="V161" s="5"/>
      <c r="W161" s="5">
        <f t="shared" si="18"/>
        <v>0</v>
      </c>
      <c r="X161" s="5" t="str" cm="1">
        <f t="array" ref="X161">IF(W161=0,"",MEDIANIFS($S$2:$S$209,$M$2:$M$209,U161,$N$2:$N$209,V161,$P$2:$P$209,"Resale"))</f>
        <v/>
      </c>
      <c r="Y161" s="5" t="str">
        <f t="shared" si="19"/>
        <v/>
      </c>
      <c r="Z161" s="5">
        <f t="shared" si="20"/>
        <v>0</v>
      </c>
      <c r="AA161" s="5" t="str" cm="1">
        <f t="array" ref="AA161">IF(Z161=0,"",MEDIAN(_xlfn._xlws.FILTER($Y$2:$Y$209,($M$2:$M$209=U161)*($N$2:$N$209=V161)*($P$2:$P$209="Long Term Rental")*($Y$2:$Y$209&lt;&gt;""),"")))</f>
        <v/>
      </c>
      <c r="AB161" s="5" t="str">
        <f t="shared" si="21"/>
        <v/>
      </c>
      <c r="AC161" s="5" t="str" cm="1">
        <f t="array" ref="AC161">IFERROR(MEDIAN(_xlfn._xlws.FILTER($Q$2:$Q$209,($M$2:$M$209=U161)*($P$2:$P$209="Short Term Rental")*($Q$2:$Q$209&lt;&gt;""))),"")</f>
        <v/>
      </c>
    </row>
    <row r="162" spans="1:29" ht="15" thickBot="1" x14ac:dyDescent="0.4">
      <c r="A162" s="1" t="s">
        <v>280</v>
      </c>
      <c r="B162" s="2" t="s">
        <v>13</v>
      </c>
      <c r="C162" s="1" t="s">
        <v>14</v>
      </c>
      <c r="D162" s="1" t="s">
        <v>15</v>
      </c>
      <c r="E162" s="1" t="s">
        <v>16</v>
      </c>
      <c r="F162" s="1"/>
      <c r="G162" s="1"/>
      <c r="H162" s="3">
        <v>6800</v>
      </c>
      <c r="I162" s="1" t="s">
        <v>17</v>
      </c>
      <c r="J162" s="1" t="s">
        <v>18</v>
      </c>
      <c r="K162" s="1" t="s">
        <v>19</v>
      </c>
      <c r="L162" s="1" t="s">
        <v>20</v>
      </c>
      <c r="M162" s="5" t="str">
        <f>_xlfn.XLOOKUP(TRIM(C162),MAPPING!A:A,MAPPING!B:B,"CHECK")</f>
        <v>Kondhwal Valley</v>
      </c>
      <c r="N162" s="5" t="str">
        <f>_xlfn.XLOOKUP(D162,MAPPING!G:G,MAPPING!H:H,"CHECK")</f>
        <v>Villa</v>
      </c>
      <c r="O162" s="5" t="str">
        <f>_xlfn.XLOOKUP(E162,MAPPING!J:J,MAPPING!K:K,"CHECK")</f>
        <v>3 BHK</v>
      </c>
      <c r="P162" s="5" t="str">
        <f>_xlfn.XLOOKUP(J162,MAPPING!M:M,MAPPING!N:N,"CHECK")</f>
        <v>Short Term Rental</v>
      </c>
      <c r="Q162" s="5">
        <f t="shared" si="15"/>
        <v>6800</v>
      </c>
      <c r="R162" s="5" t="str">
        <f t="shared" si="16"/>
        <v/>
      </c>
      <c r="S162" s="5" t="str">
        <f t="shared" si="17"/>
        <v/>
      </c>
      <c r="T162" s="5"/>
      <c r="U162" s="5"/>
      <c r="V162" s="5"/>
      <c r="W162" s="5">
        <f t="shared" si="18"/>
        <v>0</v>
      </c>
      <c r="X162" s="5" t="str" cm="1">
        <f t="array" ref="X162">IF(W162=0,"",MEDIANIFS($S$2:$S$209,$M$2:$M$209,U162,$N$2:$N$209,V162,$P$2:$P$209,"Resale"))</f>
        <v/>
      </c>
      <c r="Y162" s="5" t="str">
        <f t="shared" si="19"/>
        <v/>
      </c>
      <c r="Z162" s="5">
        <f t="shared" si="20"/>
        <v>0</v>
      </c>
      <c r="AA162" s="5" t="str" cm="1">
        <f t="array" ref="AA162">IF(Z162=0,"",MEDIAN(_xlfn._xlws.FILTER($Y$2:$Y$209,($M$2:$M$209=U162)*($N$2:$N$209=V162)*($P$2:$P$209="Long Term Rental")*($Y$2:$Y$209&lt;&gt;""),"")))</f>
        <v/>
      </c>
      <c r="AB162" s="5" t="str">
        <f t="shared" si="21"/>
        <v/>
      </c>
      <c r="AC162" s="5" t="str" cm="1">
        <f t="array" ref="AC162">IFERROR(MEDIAN(_xlfn._xlws.FILTER($Q$2:$Q$209,($M$2:$M$209=U162)*($P$2:$P$209="Short Term Rental")*($Q$2:$Q$209&lt;&gt;""))),"")</f>
        <v/>
      </c>
    </row>
    <row r="163" spans="1:29" ht="15" thickBot="1" x14ac:dyDescent="0.4">
      <c r="A163" s="1" t="s">
        <v>204</v>
      </c>
      <c r="B163" s="2" t="s">
        <v>205</v>
      </c>
      <c r="C163" s="1" t="s">
        <v>70</v>
      </c>
      <c r="D163" s="1" t="s">
        <v>24</v>
      </c>
      <c r="E163" s="1" t="s">
        <v>25</v>
      </c>
      <c r="F163" s="1"/>
      <c r="G163" s="1"/>
      <c r="H163" s="3">
        <v>4000</v>
      </c>
      <c r="I163" s="1" t="s">
        <v>17</v>
      </c>
      <c r="J163" s="1" t="s">
        <v>18</v>
      </c>
      <c r="K163" s="1" t="s">
        <v>19</v>
      </c>
      <c r="L163" s="1" t="s">
        <v>20</v>
      </c>
      <c r="M163" s="5" t="str">
        <f>_xlfn.XLOOKUP(TRIM(C163),MAPPING!A:A,MAPPING!B:B,"CHECK")</f>
        <v>Kondhwal Valley</v>
      </c>
      <c r="N163" s="5" t="str">
        <f>_xlfn.XLOOKUP(D163,MAPPING!G:G,MAPPING!H:H,"CHECK")</f>
        <v>Villa</v>
      </c>
      <c r="O163" s="5" t="str">
        <f>_xlfn.XLOOKUP(E163,MAPPING!J:J,MAPPING!K:K,"CHECK")</f>
        <v>3 BHK</v>
      </c>
      <c r="P163" s="5" t="str">
        <f>_xlfn.XLOOKUP(J163,MAPPING!M:M,MAPPING!N:N,"CHECK")</f>
        <v>Short Term Rental</v>
      </c>
      <c r="Q163" s="5">
        <f t="shared" si="15"/>
        <v>4000</v>
      </c>
      <c r="R163" s="5" t="str">
        <f t="shared" si="16"/>
        <v/>
      </c>
      <c r="S163" s="5" t="str">
        <f t="shared" si="17"/>
        <v/>
      </c>
      <c r="T163" s="5"/>
      <c r="U163" s="5"/>
      <c r="V163" s="5"/>
      <c r="W163" s="5">
        <f t="shared" si="18"/>
        <v>0</v>
      </c>
      <c r="X163" s="5" t="str" cm="1">
        <f t="array" ref="X163">IF(W163=0,"",MEDIANIFS($S$2:$S$209,$M$2:$M$209,U163,$N$2:$N$209,V163,$P$2:$P$209,"Resale"))</f>
        <v/>
      </c>
      <c r="Y163" s="5" t="str">
        <f t="shared" si="19"/>
        <v/>
      </c>
      <c r="Z163" s="5">
        <f t="shared" si="20"/>
        <v>0</v>
      </c>
      <c r="AA163" s="5" t="str" cm="1">
        <f t="array" ref="AA163">IF(Z163=0,"",MEDIAN(_xlfn._xlws.FILTER($Y$2:$Y$209,($M$2:$M$209=U163)*($N$2:$N$209=V163)*($P$2:$P$209="Long Term Rental")*($Y$2:$Y$209&lt;&gt;""),"")))</f>
        <v/>
      </c>
      <c r="AB163" s="5" t="str">
        <f t="shared" si="21"/>
        <v/>
      </c>
      <c r="AC163" s="5" t="str" cm="1">
        <f t="array" ref="AC163">IFERROR(MEDIAN(_xlfn._xlws.FILTER($Q$2:$Q$209,($M$2:$M$209=U163)*($P$2:$P$209="Short Term Rental")*($Q$2:$Q$209&lt;&gt;""))),"")</f>
        <v/>
      </c>
    </row>
    <row r="164" spans="1:29" ht="15" thickBot="1" x14ac:dyDescent="0.4">
      <c r="A164" s="1" t="s">
        <v>442</v>
      </c>
      <c r="B164" s="2" t="s">
        <v>370</v>
      </c>
      <c r="C164" s="1" t="s">
        <v>14</v>
      </c>
      <c r="D164" s="1" t="s">
        <v>15</v>
      </c>
      <c r="E164" s="1" t="s">
        <v>25</v>
      </c>
      <c r="F164" s="1"/>
      <c r="G164" s="1"/>
      <c r="H164" s="3">
        <v>6000</v>
      </c>
      <c r="I164" s="1" t="s">
        <v>17</v>
      </c>
      <c r="J164" s="1" t="s">
        <v>18</v>
      </c>
      <c r="K164" s="1" t="s">
        <v>19</v>
      </c>
      <c r="L164" s="1" t="s">
        <v>20</v>
      </c>
      <c r="M164" s="5" t="str">
        <f>_xlfn.XLOOKUP(TRIM(C164),MAPPING!A:A,MAPPING!B:B,"CHECK")</f>
        <v>Kondhwal Valley</v>
      </c>
      <c r="N164" s="5" t="str">
        <f>_xlfn.XLOOKUP(D164,MAPPING!G:G,MAPPING!H:H,"CHECK")</f>
        <v>Villa</v>
      </c>
      <c r="O164" s="5" t="str">
        <f>_xlfn.XLOOKUP(E164,MAPPING!J:J,MAPPING!K:K,"CHECK")</f>
        <v>3 BHK</v>
      </c>
      <c r="P164" s="5" t="str">
        <f>_xlfn.XLOOKUP(J164,MAPPING!M:M,MAPPING!N:N,"CHECK")</f>
        <v>Short Term Rental</v>
      </c>
      <c r="Q164" s="5">
        <f t="shared" si="15"/>
        <v>6000</v>
      </c>
      <c r="R164" s="5" t="str">
        <f t="shared" si="16"/>
        <v/>
      </c>
      <c r="S164" s="5" t="str">
        <f t="shared" si="17"/>
        <v/>
      </c>
      <c r="T164" s="5"/>
      <c r="U164" s="5"/>
      <c r="V164" s="5"/>
      <c r="W164" s="5">
        <f t="shared" si="18"/>
        <v>0</v>
      </c>
      <c r="X164" s="5" t="str" cm="1">
        <f t="array" ref="X164">IF(W164=0,"",MEDIANIFS($S$2:$S$209,$M$2:$M$209,U164,$N$2:$N$209,V164,$P$2:$P$209,"Resale"))</f>
        <v/>
      </c>
      <c r="Y164" s="5" t="str">
        <f t="shared" si="19"/>
        <v/>
      </c>
      <c r="Z164" s="5">
        <f t="shared" si="20"/>
        <v>0</v>
      </c>
      <c r="AA164" s="5" t="str" cm="1">
        <f t="array" ref="AA164">IF(Z164=0,"",MEDIAN(_xlfn._xlws.FILTER($Y$2:$Y$209,($M$2:$M$209=U164)*($N$2:$N$209=V164)*($P$2:$P$209="Long Term Rental")*($Y$2:$Y$209&lt;&gt;""),"")))</f>
        <v/>
      </c>
      <c r="AB164" s="5" t="str">
        <f t="shared" si="21"/>
        <v/>
      </c>
      <c r="AC164" s="5" t="str" cm="1">
        <f t="array" ref="AC164">IFERROR(MEDIAN(_xlfn._xlws.FILTER($Q$2:$Q$209,($M$2:$M$209=U164)*($P$2:$P$209="Short Term Rental")*($Q$2:$Q$209&lt;&gt;""))),"")</f>
        <v/>
      </c>
    </row>
    <row r="165" spans="1:29" ht="15" thickBot="1" x14ac:dyDescent="0.4">
      <c r="A165" s="1" t="s">
        <v>296</v>
      </c>
      <c r="B165" s="2" t="s">
        <v>297</v>
      </c>
      <c r="C165" s="1" t="s">
        <v>46</v>
      </c>
      <c r="D165" s="1" t="s">
        <v>34</v>
      </c>
      <c r="E165" s="1" t="s">
        <v>29</v>
      </c>
      <c r="F165" s="3">
        <v>2775</v>
      </c>
      <c r="G165" s="1" t="s">
        <v>30</v>
      </c>
      <c r="H165" s="3">
        <v>0</v>
      </c>
      <c r="I165" s="1" t="s">
        <v>64</v>
      </c>
      <c r="J165" s="1" t="s">
        <v>37</v>
      </c>
      <c r="K165" s="1" t="s">
        <v>19</v>
      </c>
      <c r="L165" s="1"/>
      <c r="M165" s="5" t="str">
        <f>_xlfn.XLOOKUP(TRIM(C165),MAPPING!A:A,MAPPING!B:B,"CHECK")</f>
        <v>Matheran Road</v>
      </c>
      <c r="N165" s="5" t="str">
        <f>_xlfn.XLOOKUP(D165,MAPPING!G:G,MAPPING!H:H,"CHECK")</f>
        <v>Villa</v>
      </c>
      <c r="O165" s="5" t="str">
        <f>_xlfn.XLOOKUP(E165,MAPPING!J:J,MAPPING!K:K,"CHECK")</f>
        <v>4 BHK</v>
      </c>
      <c r="P165" s="5" t="str">
        <f>_xlfn.XLOOKUP(J165,MAPPING!M:M,MAPPING!N:N,"CHECK")</f>
        <v>Resale</v>
      </c>
      <c r="Q165" s="5">
        <f t="shared" si="15"/>
        <v>0</v>
      </c>
      <c r="R165" s="5">
        <f t="shared" si="16"/>
        <v>2775</v>
      </c>
      <c r="S165" s="5">
        <f t="shared" si="17"/>
        <v>0</v>
      </c>
      <c r="T165" s="5"/>
      <c r="U165" s="5"/>
      <c r="V165" s="5"/>
      <c r="W165" s="5">
        <f t="shared" si="18"/>
        <v>0</v>
      </c>
      <c r="X165" s="5" t="str" cm="1">
        <f t="array" ref="X165">IF(W165=0,"",MEDIANIFS($S$2:$S$209,$M$2:$M$209,U165,$N$2:$N$209,V165,$P$2:$P$209,"Resale"))</f>
        <v/>
      </c>
      <c r="Y165" s="5" t="str">
        <f t="shared" si="19"/>
        <v/>
      </c>
      <c r="Z165" s="5">
        <f t="shared" si="20"/>
        <v>0</v>
      </c>
      <c r="AA165" s="5" t="str" cm="1">
        <f t="array" ref="AA165">IF(Z165=0,"",MEDIAN(_xlfn._xlws.FILTER($Y$2:$Y$209,($M$2:$M$209=U165)*($N$2:$N$209=V165)*($P$2:$P$209="Long Term Rental")*($Y$2:$Y$209&lt;&gt;""),"")))</f>
        <v/>
      </c>
      <c r="AB165" s="5" t="str">
        <f t="shared" si="21"/>
        <v/>
      </c>
      <c r="AC165" s="5" t="str" cm="1">
        <f t="array" ref="AC165">IFERROR(MEDIAN(_xlfn._xlws.FILTER($Q$2:$Q$209,($M$2:$M$209=U165)*($P$2:$P$209="Short Term Rental")*($Q$2:$Q$209&lt;&gt;""))),"")</f>
        <v/>
      </c>
    </row>
    <row r="166" spans="1:29" ht="15" thickBot="1" x14ac:dyDescent="0.4">
      <c r="A166" s="1" t="s">
        <v>335</v>
      </c>
      <c r="B166" s="1" t="s">
        <v>336</v>
      </c>
      <c r="C166" s="1" t="s">
        <v>28</v>
      </c>
      <c r="D166" s="1" t="s">
        <v>15</v>
      </c>
      <c r="E166" s="1" t="s">
        <v>16</v>
      </c>
      <c r="F166" s="3">
        <v>2149</v>
      </c>
      <c r="G166" s="1" t="s">
        <v>30</v>
      </c>
      <c r="H166" s="3">
        <v>89.71</v>
      </c>
      <c r="I166" s="1" t="s">
        <v>36</v>
      </c>
      <c r="J166" s="1" t="s">
        <v>37</v>
      </c>
      <c r="K166" s="1" t="s">
        <v>19</v>
      </c>
      <c r="L166" s="1"/>
      <c r="M166" s="5" t="str">
        <f>_xlfn.XLOOKUP(TRIM(C166),MAPPING!A:A,MAPPING!B:B,"CHECK")</f>
        <v>Matheran Road</v>
      </c>
      <c r="N166" s="5" t="str">
        <f>_xlfn.XLOOKUP(D166,MAPPING!G:G,MAPPING!H:H,"CHECK")</f>
        <v>Villa</v>
      </c>
      <c r="O166" s="5" t="str">
        <f>_xlfn.XLOOKUP(E166,MAPPING!J:J,MAPPING!K:K,"CHECK")</f>
        <v>3 BHK</v>
      </c>
      <c r="P166" s="5" t="str">
        <f>_xlfn.XLOOKUP(J166,MAPPING!M:M,MAPPING!N:N,"CHECK")</f>
        <v>Resale</v>
      </c>
      <c r="Q166" s="5">
        <f t="shared" si="15"/>
        <v>8971000</v>
      </c>
      <c r="R166" s="5">
        <f t="shared" si="16"/>
        <v>2149</v>
      </c>
      <c r="S166" s="5">
        <f t="shared" si="17"/>
        <v>4174.4997673336438</v>
      </c>
      <c r="T166" s="5"/>
      <c r="U166" s="5"/>
      <c r="V166" s="5"/>
      <c r="W166" s="5">
        <f t="shared" si="18"/>
        <v>0</v>
      </c>
      <c r="X166" s="5" t="str" cm="1">
        <f t="array" ref="X166">IF(W166=0,"",MEDIANIFS($S$2:$S$209,$M$2:$M$209,U166,$N$2:$N$209,V166,$P$2:$P$209,"Resale"))</f>
        <v/>
      </c>
      <c r="Y166" s="5" t="str">
        <f t="shared" si="19"/>
        <v/>
      </c>
      <c r="Z166" s="5">
        <f t="shared" si="20"/>
        <v>0</v>
      </c>
      <c r="AA166" s="5" t="str" cm="1">
        <f t="array" ref="AA166">IF(Z166=0,"",MEDIAN(_xlfn._xlws.FILTER($Y$2:$Y$209,($M$2:$M$209=U166)*($N$2:$N$209=V166)*($P$2:$P$209="Long Term Rental")*($Y$2:$Y$209&lt;&gt;""),"")))</f>
        <v/>
      </c>
      <c r="AB166" s="5" t="str">
        <f t="shared" si="21"/>
        <v/>
      </c>
      <c r="AC166" s="5" t="str" cm="1">
        <f t="array" ref="AC166">IFERROR(MEDIAN(_xlfn._xlws.FILTER($Q$2:$Q$209,($M$2:$M$209=U166)*($P$2:$P$209="Short Term Rental")*($Q$2:$Q$209&lt;&gt;""))),"")</f>
        <v/>
      </c>
    </row>
    <row r="167" spans="1:29" ht="15" thickBot="1" x14ac:dyDescent="0.4">
      <c r="A167" s="1" t="s">
        <v>115</v>
      </c>
      <c r="B167" s="1" t="s">
        <v>116</v>
      </c>
      <c r="C167" s="1" t="s">
        <v>28</v>
      </c>
      <c r="D167" s="1" t="s">
        <v>117</v>
      </c>
      <c r="E167" s="1" t="s">
        <v>42</v>
      </c>
      <c r="F167" s="3">
        <v>5042</v>
      </c>
      <c r="G167" s="1" t="s">
        <v>30</v>
      </c>
      <c r="H167" s="3">
        <v>9.49</v>
      </c>
      <c r="I167" s="1" t="s">
        <v>36</v>
      </c>
      <c r="J167" s="1" t="s">
        <v>37</v>
      </c>
      <c r="K167" s="1" t="s">
        <v>19</v>
      </c>
      <c r="L167" s="1"/>
      <c r="M167" s="5" t="str">
        <f>_xlfn.XLOOKUP(TRIM(C167),MAPPING!A:A,MAPPING!B:B,"CHECK")</f>
        <v>Matheran Road</v>
      </c>
      <c r="N167" s="5" t="str">
        <f>_xlfn.XLOOKUP(D167,MAPPING!G:G,MAPPING!H:H,"CHECK")</f>
        <v>Farmland</v>
      </c>
      <c r="O167" s="5" t="str">
        <f>_xlfn.XLOOKUP(E167,MAPPING!J:J,MAPPING!K:K,"CHECK")</f>
        <v>NA</v>
      </c>
      <c r="P167" s="5" t="str">
        <f>_xlfn.XLOOKUP(J167,MAPPING!M:M,MAPPING!N:N,"CHECK")</f>
        <v>Resale</v>
      </c>
      <c r="Q167" s="5">
        <f t="shared" si="15"/>
        <v>949000</v>
      </c>
      <c r="R167" s="5">
        <f t="shared" si="16"/>
        <v>5042</v>
      </c>
      <c r="S167" s="5">
        <f t="shared" si="17"/>
        <v>188.21896072986911</v>
      </c>
      <c r="T167" s="5"/>
      <c r="U167" s="5"/>
      <c r="V167" s="5"/>
      <c r="W167" s="5">
        <f t="shared" si="18"/>
        <v>0</v>
      </c>
      <c r="X167" s="5" t="str" cm="1">
        <f t="array" ref="X167">IF(W167=0,"",MEDIANIFS($S$2:$S$209,$M$2:$M$209,U167,$N$2:$N$209,V167,$P$2:$P$209,"Resale"))</f>
        <v/>
      </c>
      <c r="Y167" s="5" t="str">
        <f t="shared" si="19"/>
        <v/>
      </c>
      <c r="Z167" s="5">
        <f t="shared" si="20"/>
        <v>0</v>
      </c>
      <c r="AA167" s="5" t="str" cm="1">
        <f t="array" ref="AA167">IF(Z167=0,"",MEDIAN(_xlfn._xlws.FILTER($Y$2:$Y$209,($M$2:$M$209=U167)*($N$2:$N$209=V167)*($P$2:$P$209="Long Term Rental")*($Y$2:$Y$209&lt;&gt;""),"")))</f>
        <v/>
      </c>
      <c r="AB167" s="5" t="str">
        <f t="shared" si="21"/>
        <v/>
      </c>
      <c r="AC167" s="5" t="str" cm="1">
        <f t="array" ref="AC167">IFERROR(MEDIAN(_xlfn._xlws.FILTER($Q$2:$Q$209,($M$2:$M$209=U167)*($P$2:$P$209="Short Term Rental")*($Q$2:$Q$209&lt;&gt;""))),"")</f>
        <v/>
      </c>
    </row>
    <row r="168" spans="1:29" ht="15" thickBot="1" x14ac:dyDescent="0.4">
      <c r="A168" s="1" t="s">
        <v>421</v>
      </c>
      <c r="B168" s="1" t="s">
        <v>265</v>
      </c>
      <c r="C168" s="1" t="s">
        <v>225</v>
      </c>
      <c r="D168" s="1" t="s">
        <v>34</v>
      </c>
      <c r="E168" s="1" t="s">
        <v>35</v>
      </c>
      <c r="F168" s="3">
        <v>1439</v>
      </c>
      <c r="G168" s="1" t="s">
        <v>30</v>
      </c>
      <c r="H168" s="3">
        <v>73.260000000000005</v>
      </c>
      <c r="I168" s="1" t="s">
        <v>36</v>
      </c>
      <c r="J168" s="1" t="s">
        <v>37</v>
      </c>
      <c r="K168" s="1" t="s">
        <v>19</v>
      </c>
      <c r="L168" s="1" t="s">
        <v>422</v>
      </c>
      <c r="M168" s="5" t="str">
        <f>_xlfn.XLOOKUP(TRIM(C168),MAPPING!A:A,MAPPING!B:B,"CHECK")</f>
        <v>Matheran Road</v>
      </c>
      <c r="N168" s="5" t="str">
        <f>_xlfn.XLOOKUP(D168,MAPPING!G:G,MAPPING!H:H,"CHECK")</f>
        <v>Villa</v>
      </c>
      <c r="O168" s="5" t="str">
        <f>_xlfn.XLOOKUP(E168,MAPPING!J:J,MAPPING!K:K,"CHECK")</f>
        <v>3 BHK</v>
      </c>
      <c r="P168" s="5" t="str">
        <f>_xlfn.XLOOKUP(J168,MAPPING!M:M,MAPPING!N:N,"CHECK")</f>
        <v>Resale</v>
      </c>
      <c r="Q168" s="5">
        <f t="shared" si="15"/>
        <v>7326000.0000000009</v>
      </c>
      <c r="R168" s="5">
        <f t="shared" si="16"/>
        <v>1439</v>
      </c>
      <c r="S168" s="5">
        <f t="shared" si="17"/>
        <v>5091.0354412786664</v>
      </c>
      <c r="T168" s="5"/>
      <c r="U168" s="5"/>
      <c r="V168" s="5"/>
      <c r="W168" s="5">
        <f t="shared" si="18"/>
        <v>0</v>
      </c>
      <c r="X168" s="5" t="str" cm="1">
        <f t="array" ref="X168">IF(W168=0,"",MEDIANIFS($S$2:$S$209,$M$2:$M$209,U168,$N$2:$N$209,V168,$P$2:$P$209,"Resale"))</f>
        <v/>
      </c>
      <c r="Y168" s="5" t="str">
        <f t="shared" si="19"/>
        <v/>
      </c>
      <c r="Z168" s="5">
        <f t="shared" si="20"/>
        <v>0</v>
      </c>
      <c r="AA168" s="5" t="str" cm="1">
        <f t="array" ref="AA168">IF(Z168=0,"",MEDIAN(_xlfn._xlws.FILTER($Y$2:$Y$209,($M$2:$M$209=U168)*($N$2:$N$209=V168)*($P$2:$P$209="Long Term Rental")*($Y$2:$Y$209&lt;&gt;""),"")))</f>
        <v/>
      </c>
      <c r="AB168" s="5" t="str">
        <f t="shared" si="21"/>
        <v/>
      </c>
      <c r="AC168" s="5" t="str" cm="1">
        <f t="array" ref="AC168">IFERROR(MEDIAN(_xlfn._xlws.FILTER($Q$2:$Q$209,($M$2:$M$209=U168)*($P$2:$P$209="Short Term Rental")*($Q$2:$Q$209&lt;&gt;""))),"")</f>
        <v/>
      </c>
    </row>
    <row r="169" spans="1:29" ht="15" thickBot="1" x14ac:dyDescent="0.4">
      <c r="A169" s="1" t="s">
        <v>395</v>
      </c>
      <c r="B169" s="1" t="s">
        <v>396</v>
      </c>
      <c r="C169" s="1" t="s">
        <v>46</v>
      </c>
      <c r="D169" s="1" t="s">
        <v>155</v>
      </c>
      <c r="E169" s="1" t="s">
        <v>42</v>
      </c>
      <c r="F169" s="3">
        <v>3.6</v>
      </c>
      <c r="G169" s="1" t="s">
        <v>85</v>
      </c>
      <c r="H169" s="3">
        <v>2.5099999999999998</v>
      </c>
      <c r="I169" s="1" t="s">
        <v>64</v>
      </c>
      <c r="J169" s="1" t="s">
        <v>37</v>
      </c>
      <c r="K169" s="1" t="s">
        <v>19</v>
      </c>
      <c r="L169" s="1"/>
      <c r="M169" s="5" t="str">
        <f>_xlfn.XLOOKUP(TRIM(C169),MAPPING!A:A,MAPPING!B:B,"CHECK")</f>
        <v>Matheran Road</v>
      </c>
      <c r="N169" s="5" t="str">
        <f>_xlfn.XLOOKUP(D169,MAPPING!G:G,MAPPING!H:H,"CHECK")</f>
        <v>Farmland</v>
      </c>
      <c r="O169" s="5" t="str">
        <f>_xlfn.XLOOKUP(E169,MAPPING!J:J,MAPPING!K:K,"CHECK")</f>
        <v>NA</v>
      </c>
      <c r="P169" s="5" t="str">
        <f>_xlfn.XLOOKUP(J169,MAPPING!M:M,MAPPING!N:N,"CHECK")</f>
        <v>Resale</v>
      </c>
      <c r="Q169" s="5">
        <f t="shared" si="15"/>
        <v>25099999.999999996</v>
      </c>
      <c r="R169" s="5">
        <f t="shared" si="16"/>
        <v>156816</v>
      </c>
      <c r="S169" s="5">
        <f t="shared" si="17"/>
        <v>160.06019793898579</v>
      </c>
      <c r="T169" s="5"/>
      <c r="U169" s="5"/>
      <c r="V169" s="5"/>
      <c r="W169" s="5">
        <f t="shared" si="18"/>
        <v>0</v>
      </c>
      <c r="X169" s="5" t="str" cm="1">
        <f t="array" ref="X169">IF(W169=0,"",MEDIANIFS($S$2:$S$209,$M$2:$M$209,U169,$N$2:$N$209,V169,$P$2:$P$209,"Resale"))</f>
        <v/>
      </c>
      <c r="Y169" s="5" t="str">
        <f t="shared" si="19"/>
        <v/>
      </c>
      <c r="Z169" s="5">
        <f t="shared" si="20"/>
        <v>0</v>
      </c>
      <c r="AA169" s="5" t="str" cm="1">
        <f t="array" ref="AA169">IF(Z169=0,"",MEDIAN(_xlfn._xlws.FILTER($Y$2:$Y$209,($M$2:$M$209=U169)*($N$2:$N$209=V169)*($P$2:$P$209="Long Term Rental")*($Y$2:$Y$209&lt;&gt;""),"")))</f>
        <v/>
      </c>
      <c r="AB169" s="5" t="str">
        <f t="shared" si="21"/>
        <v/>
      </c>
      <c r="AC169" s="5" t="str" cm="1">
        <f t="array" ref="AC169">IFERROR(MEDIAN(_xlfn._xlws.FILTER($Q$2:$Q$209,($M$2:$M$209=U169)*($P$2:$P$209="Short Term Rental")*($Q$2:$Q$209&lt;&gt;""))),"")</f>
        <v/>
      </c>
    </row>
    <row r="170" spans="1:29" ht="15" thickBot="1" x14ac:dyDescent="0.4">
      <c r="A170" s="1" t="s">
        <v>354</v>
      </c>
      <c r="B170" s="1" t="s">
        <v>355</v>
      </c>
      <c r="C170" s="1" t="s">
        <v>225</v>
      </c>
      <c r="D170" s="1" t="s">
        <v>15</v>
      </c>
      <c r="E170" s="1" t="s">
        <v>35</v>
      </c>
      <c r="F170" s="3">
        <v>2029</v>
      </c>
      <c r="G170" s="1" t="s">
        <v>30</v>
      </c>
      <c r="H170" s="3">
        <v>1.02</v>
      </c>
      <c r="I170" s="1" t="s">
        <v>64</v>
      </c>
      <c r="J170" s="1" t="s">
        <v>37</v>
      </c>
      <c r="K170" s="1" t="s">
        <v>19</v>
      </c>
      <c r="L170" s="1"/>
      <c r="M170" s="5" t="str">
        <f>_xlfn.XLOOKUP(TRIM(C170),MAPPING!A:A,MAPPING!B:B,"CHECK")</f>
        <v>Matheran Road</v>
      </c>
      <c r="N170" s="5" t="str">
        <f>_xlfn.XLOOKUP(D170,MAPPING!G:G,MAPPING!H:H,"CHECK")</f>
        <v>Villa</v>
      </c>
      <c r="O170" s="5" t="str">
        <f>_xlfn.XLOOKUP(E170,MAPPING!J:J,MAPPING!K:K,"CHECK")</f>
        <v>3 BHK</v>
      </c>
      <c r="P170" s="5" t="str">
        <f>_xlfn.XLOOKUP(J170,MAPPING!M:M,MAPPING!N:N,"CHECK")</f>
        <v>Resale</v>
      </c>
      <c r="Q170" s="5">
        <f t="shared" si="15"/>
        <v>10200000</v>
      </c>
      <c r="R170" s="5">
        <f t="shared" si="16"/>
        <v>2029</v>
      </c>
      <c r="S170" s="5">
        <f t="shared" si="17"/>
        <v>5027.1069492360766</v>
      </c>
      <c r="T170" s="5"/>
      <c r="U170" s="5"/>
      <c r="V170" s="5"/>
      <c r="W170" s="5">
        <f t="shared" si="18"/>
        <v>0</v>
      </c>
      <c r="X170" s="5" t="str" cm="1">
        <f t="array" ref="X170">IF(W170=0,"",MEDIANIFS($S$2:$S$209,$M$2:$M$209,U170,$N$2:$N$209,V170,$P$2:$P$209,"Resale"))</f>
        <v/>
      </c>
      <c r="Y170" s="5" t="str">
        <f t="shared" si="19"/>
        <v/>
      </c>
      <c r="Z170" s="5">
        <f t="shared" si="20"/>
        <v>0</v>
      </c>
      <c r="AA170" s="5" t="str" cm="1">
        <f t="array" ref="AA170">IF(Z170=0,"",MEDIAN(_xlfn._xlws.FILTER($Y$2:$Y$209,($M$2:$M$209=U170)*($N$2:$N$209=V170)*($P$2:$P$209="Long Term Rental")*($Y$2:$Y$209&lt;&gt;""),"")))</f>
        <v/>
      </c>
      <c r="AB170" s="5" t="str">
        <f t="shared" si="21"/>
        <v/>
      </c>
      <c r="AC170" s="5" t="str" cm="1">
        <f t="array" ref="AC170">IFERROR(MEDIAN(_xlfn._xlws.FILTER($Q$2:$Q$209,($M$2:$M$209=U170)*($P$2:$P$209="Short Term Rental")*($Q$2:$Q$209&lt;&gt;""))),"")</f>
        <v/>
      </c>
    </row>
    <row r="171" spans="1:29" ht="15" thickBot="1" x14ac:dyDescent="0.4">
      <c r="A171" s="1" t="s">
        <v>259</v>
      </c>
      <c r="B171" s="2" t="s">
        <v>260</v>
      </c>
      <c r="C171" s="1" t="s">
        <v>460</v>
      </c>
      <c r="D171" s="1" t="s">
        <v>24</v>
      </c>
      <c r="E171" s="1" t="s">
        <v>52</v>
      </c>
      <c r="F171" s="3">
        <v>1733</v>
      </c>
      <c r="G171" s="1" t="s">
        <v>30</v>
      </c>
      <c r="H171" s="3">
        <v>87.38</v>
      </c>
      <c r="I171" s="1" t="s">
        <v>36</v>
      </c>
      <c r="J171" s="1" t="s">
        <v>37</v>
      </c>
      <c r="K171" s="1" t="s">
        <v>124</v>
      </c>
      <c r="L171" s="1"/>
      <c r="M171" s="5" t="str">
        <f>_xlfn.XLOOKUP(TRIM(C171),MAPPING!A:A,MAPPING!B:B,"CHECK")</f>
        <v>Matheran Road</v>
      </c>
      <c r="N171" s="5" t="str">
        <f>_xlfn.XLOOKUP(D171,MAPPING!G:G,MAPPING!H:H,"CHECK")</f>
        <v>Villa</v>
      </c>
      <c r="O171" s="5" t="str">
        <f>_xlfn.XLOOKUP(E171,MAPPING!J:J,MAPPING!K:K,"CHECK")</f>
        <v>2 BHK</v>
      </c>
      <c r="P171" s="5" t="str">
        <f>_xlfn.XLOOKUP(J171,MAPPING!M:M,MAPPING!N:N,"CHECK")</f>
        <v>Resale</v>
      </c>
      <c r="Q171" s="5">
        <f t="shared" si="15"/>
        <v>8738000</v>
      </c>
      <c r="R171" s="5">
        <f t="shared" si="16"/>
        <v>1733</v>
      </c>
      <c r="S171" s="5">
        <f t="shared" si="17"/>
        <v>5042.1234852856314</v>
      </c>
      <c r="T171" s="5"/>
      <c r="U171" s="5"/>
      <c r="V171" s="5"/>
      <c r="W171" s="5">
        <f t="shared" si="18"/>
        <v>0</v>
      </c>
      <c r="X171" s="5" t="str" cm="1">
        <f t="array" ref="X171">IF(W171=0,"",MEDIANIFS($S$2:$S$209,$M$2:$M$209,U171,$N$2:$N$209,V171,$P$2:$P$209,"Resale"))</f>
        <v/>
      </c>
      <c r="Y171" s="5" t="str">
        <f t="shared" si="19"/>
        <v/>
      </c>
      <c r="Z171" s="5">
        <f t="shared" si="20"/>
        <v>0</v>
      </c>
      <c r="AA171" s="5" t="str" cm="1">
        <f t="array" ref="AA171">IF(Z171=0,"",MEDIAN(_xlfn._xlws.FILTER($Y$2:$Y$209,($M$2:$M$209=U171)*($N$2:$N$209=V171)*($P$2:$P$209="Long Term Rental")*($Y$2:$Y$209&lt;&gt;""),"")))</f>
        <v/>
      </c>
      <c r="AB171" s="5" t="str">
        <f t="shared" si="21"/>
        <v/>
      </c>
      <c r="AC171" s="5" t="str" cm="1">
        <f t="array" ref="AC171">IFERROR(MEDIAN(_xlfn._xlws.FILTER($Q$2:$Q$209,($M$2:$M$209=U171)*($P$2:$P$209="Short Term Rental")*($Q$2:$Q$209&lt;&gt;""))),"")</f>
        <v/>
      </c>
    </row>
    <row r="172" spans="1:29" ht="15" thickBot="1" x14ac:dyDescent="0.4">
      <c r="A172" s="1" t="s">
        <v>220</v>
      </c>
      <c r="B172" s="1" t="s">
        <v>116</v>
      </c>
      <c r="C172" s="1" t="s">
        <v>28</v>
      </c>
      <c r="D172" s="1" t="s">
        <v>117</v>
      </c>
      <c r="E172" s="1" t="s">
        <v>42</v>
      </c>
      <c r="F172" s="3">
        <v>6633</v>
      </c>
      <c r="G172" s="1" t="s">
        <v>30</v>
      </c>
      <c r="H172" s="3">
        <v>12.64</v>
      </c>
      <c r="I172" s="1" t="s">
        <v>36</v>
      </c>
      <c r="J172" s="1" t="s">
        <v>37</v>
      </c>
      <c r="K172" s="1" t="s">
        <v>19</v>
      </c>
      <c r="L172" s="1"/>
      <c r="M172" s="5" t="str">
        <f>_xlfn.XLOOKUP(TRIM(C172),MAPPING!A:A,MAPPING!B:B,"CHECK")</f>
        <v>Matheran Road</v>
      </c>
      <c r="N172" s="5" t="str">
        <f>_xlfn.XLOOKUP(D172,MAPPING!G:G,MAPPING!H:H,"CHECK")</f>
        <v>Farmland</v>
      </c>
      <c r="O172" s="5" t="str">
        <f>_xlfn.XLOOKUP(E172,MAPPING!J:J,MAPPING!K:K,"CHECK")</f>
        <v>NA</v>
      </c>
      <c r="P172" s="5" t="str">
        <f>_xlfn.XLOOKUP(J172,MAPPING!M:M,MAPPING!N:N,"CHECK")</f>
        <v>Resale</v>
      </c>
      <c r="Q172" s="5">
        <f t="shared" si="15"/>
        <v>1264000</v>
      </c>
      <c r="R172" s="5">
        <f t="shared" si="16"/>
        <v>6633</v>
      </c>
      <c r="S172" s="5">
        <f t="shared" si="17"/>
        <v>190.56233981607116</v>
      </c>
      <c r="T172" s="5"/>
      <c r="U172" s="5"/>
      <c r="V172" s="5"/>
      <c r="W172" s="5">
        <f t="shared" si="18"/>
        <v>0</v>
      </c>
      <c r="X172" s="5" t="str" cm="1">
        <f t="array" ref="X172">IF(W172=0,"",MEDIANIFS($S$2:$S$209,$M$2:$M$209,U172,$N$2:$N$209,V172,$P$2:$P$209,"Resale"))</f>
        <v/>
      </c>
      <c r="Y172" s="5" t="str">
        <f t="shared" si="19"/>
        <v/>
      </c>
      <c r="Z172" s="5">
        <f t="shared" si="20"/>
        <v>0</v>
      </c>
      <c r="AA172" s="5" t="str" cm="1">
        <f t="array" ref="AA172">IF(Z172=0,"",MEDIAN(_xlfn._xlws.FILTER($Y$2:$Y$209,($M$2:$M$209=U172)*($N$2:$N$209=V172)*($P$2:$P$209="Long Term Rental")*($Y$2:$Y$209&lt;&gt;""),"")))</f>
        <v/>
      </c>
      <c r="AB172" s="5" t="str">
        <f t="shared" si="21"/>
        <v/>
      </c>
      <c r="AC172" s="5" t="str" cm="1">
        <f t="array" ref="AC172">IFERROR(MEDIAN(_xlfn._xlws.FILTER($Q$2:$Q$209,($M$2:$M$209=U172)*($P$2:$P$209="Short Term Rental")*($Q$2:$Q$209&lt;&gt;""))),"")</f>
        <v/>
      </c>
    </row>
    <row r="173" spans="1:29" ht="15" thickBot="1" x14ac:dyDescent="0.4">
      <c r="A173" s="1" t="s">
        <v>450</v>
      </c>
      <c r="B173" s="2" t="s">
        <v>451</v>
      </c>
      <c r="C173" s="1" t="s">
        <v>46</v>
      </c>
      <c r="D173" s="1" t="s">
        <v>117</v>
      </c>
      <c r="E173" s="1" t="s">
        <v>42</v>
      </c>
      <c r="F173" s="3">
        <v>6779</v>
      </c>
      <c r="G173" s="1" t="s">
        <v>30</v>
      </c>
      <c r="H173" s="3">
        <v>11.33</v>
      </c>
      <c r="I173" s="1" t="s">
        <v>36</v>
      </c>
      <c r="J173" s="1" t="s">
        <v>37</v>
      </c>
      <c r="K173" s="1" t="s">
        <v>19</v>
      </c>
      <c r="L173" s="1"/>
      <c r="M173" s="5" t="str">
        <f>_xlfn.XLOOKUP(TRIM(C173),MAPPING!A:A,MAPPING!B:B,"CHECK")</f>
        <v>Matheran Road</v>
      </c>
      <c r="N173" s="5" t="str">
        <f>_xlfn.XLOOKUP(D173,MAPPING!G:G,MAPPING!H:H,"CHECK")</f>
        <v>Farmland</v>
      </c>
      <c r="O173" s="5" t="str">
        <f>_xlfn.XLOOKUP(E173,MAPPING!J:J,MAPPING!K:K,"CHECK")</f>
        <v>NA</v>
      </c>
      <c r="P173" s="5" t="str">
        <f>_xlfn.XLOOKUP(J173,MAPPING!M:M,MAPPING!N:N,"CHECK")</f>
        <v>Resale</v>
      </c>
      <c r="Q173" s="5">
        <f t="shared" si="15"/>
        <v>1133000</v>
      </c>
      <c r="R173" s="5">
        <f t="shared" si="16"/>
        <v>6779</v>
      </c>
      <c r="S173" s="5">
        <f t="shared" si="17"/>
        <v>167.13379554506565</v>
      </c>
      <c r="T173" s="5"/>
      <c r="U173" s="5"/>
      <c r="V173" s="5"/>
      <c r="W173" s="5">
        <f t="shared" si="18"/>
        <v>0</v>
      </c>
      <c r="X173" s="5" t="str" cm="1">
        <f t="array" ref="X173">IF(W173=0,"",MEDIANIFS($S$2:$S$209,$M$2:$M$209,U173,$N$2:$N$209,V173,$P$2:$P$209,"Resale"))</f>
        <v/>
      </c>
      <c r="Y173" s="5" t="str">
        <f t="shared" si="19"/>
        <v/>
      </c>
      <c r="Z173" s="5">
        <f t="shared" si="20"/>
        <v>0</v>
      </c>
      <c r="AA173" s="5" t="str" cm="1">
        <f t="array" ref="AA173">IF(Z173=0,"",MEDIAN(_xlfn._xlws.FILTER($Y$2:$Y$209,($M$2:$M$209=U173)*($N$2:$N$209=V173)*($P$2:$P$209="Long Term Rental")*($Y$2:$Y$209&lt;&gt;""),"")))</f>
        <v/>
      </c>
      <c r="AB173" s="5" t="str">
        <f t="shared" si="21"/>
        <v/>
      </c>
      <c r="AC173" s="5" t="str" cm="1">
        <f t="array" ref="AC173">IFERROR(MEDIAN(_xlfn._xlws.FILTER($Q$2:$Q$209,($M$2:$M$209=U173)*($P$2:$P$209="Short Term Rental")*($Q$2:$Q$209&lt;&gt;""))),"")</f>
        <v/>
      </c>
    </row>
    <row r="174" spans="1:29" ht="15" thickBot="1" x14ac:dyDescent="0.4">
      <c r="A174" s="1" t="s">
        <v>264</v>
      </c>
      <c r="B174" s="1" t="s">
        <v>265</v>
      </c>
      <c r="C174" s="1" t="s">
        <v>225</v>
      </c>
      <c r="D174" s="1" t="s">
        <v>34</v>
      </c>
      <c r="E174" s="1" t="s">
        <v>35</v>
      </c>
      <c r="F174" s="3">
        <v>1371</v>
      </c>
      <c r="G174" s="1" t="s">
        <v>30</v>
      </c>
      <c r="H174" s="3">
        <v>73.290000000000006</v>
      </c>
      <c r="I174" s="1" t="s">
        <v>36</v>
      </c>
      <c r="J174" s="1" t="s">
        <v>37</v>
      </c>
      <c r="K174" s="1" t="s">
        <v>19</v>
      </c>
      <c r="L174" s="1"/>
      <c r="M174" s="5" t="str">
        <f>_xlfn.XLOOKUP(TRIM(C174),MAPPING!A:A,MAPPING!B:B,"CHECK")</f>
        <v>Matheran Road</v>
      </c>
      <c r="N174" s="5" t="str">
        <f>_xlfn.XLOOKUP(D174,MAPPING!G:G,MAPPING!H:H,"CHECK")</f>
        <v>Villa</v>
      </c>
      <c r="O174" s="5" t="str">
        <f>_xlfn.XLOOKUP(E174,MAPPING!J:J,MAPPING!K:K,"CHECK")</f>
        <v>3 BHK</v>
      </c>
      <c r="P174" s="5" t="str">
        <f>_xlfn.XLOOKUP(J174,MAPPING!M:M,MAPPING!N:N,"CHECK")</f>
        <v>Resale</v>
      </c>
      <c r="Q174" s="5">
        <f t="shared" si="15"/>
        <v>7329000.0000000009</v>
      </c>
      <c r="R174" s="5">
        <f t="shared" si="16"/>
        <v>1371</v>
      </c>
      <c r="S174" s="5">
        <f t="shared" si="17"/>
        <v>5345.7330415754932</v>
      </c>
      <c r="T174" s="5"/>
      <c r="U174" s="5"/>
      <c r="V174" s="5"/>
      <c r="W174" s="5">
        <f t="shared" si="18"/>
        <v>0</v>
      </c>
      <c r="X174" s="5" t="str" cm="1">
        <f t="array" ref="X174">IF(W174=0,"",MEDIANIFS($S$2:$S$209,$M$2:$M$209,U174,$N$2:$N$209,V174,$P$2:$P$209,"Resale"))</f>
        <v/>
      </c>
      <c r="Y174" s="5" t="str">
        <f t="shared" si="19"/>
        <v/>
      </c>
      <c r="Z174" s="5">
        <f t="shared" si="20"/>
        <v>0</v>
      </c>
      <c r="AA174" s="5" t="str" cm="1">
        <f t="array" ref="AA174">IF(Z174=0,"",MEDIAN(_xlfn._xlws.FILTER($Y$2:$Y$209,($M$2:$M$209=U174)*($N$2:$N$209=V174)*($P$2:$P$209="Long Term Rental")*($Y$2:$Y$209&lt;&gt;""),"")))</f>
        <v/>
      </c>
      <c r="AB174" s="5" t="str">
        <f t="shared" si="21"/>
        <v/>
      </c>
      <c r="AC174" s="5" t="str" cm="1">
        <f t="array" ref="AC174">IFERROR(MEDIAN(_xlfn._xlws.FILTER($Q$2:$Q$209,($M$2:$M$209=U174)*($P$2:$P$209="Short Term Rental")*($Q$2:$Q$209&lt;&gt;""))),"")</f>
        <v/>
      </c>
    </row>
    <row r="175" spans="1:29" ht="15" thickBot="1" x14ac:dyDescent="0.4">
      <c r="A175" s="1" t="s">
        <v>102</v>
      </c>
      <c r="B175" s="1" t="s">
        <v>103</v>
      </c>
      <c r="C175" s="1" t="s">
        <v>46</v>
      </c>
      <c r="D175" s="1" t="s">
        <v>41</v>
      </c>
      <c r="E175" s="1" t="s">
        <v>42</v>
      </c>
      <c r="F175" s="3">
        <v>1.2</v>
      </c>
      <c r="G175" s="1" t="s">
        <v>85</v>
      </c>
      <c r="H175" s="3">
        <v>5.9</v>
      </c>
      <c r="I175" s="1" t="s">
        <v>64</v>
      </c>
      <c r="J175" s="1" t="s">
        <v>37</v>
      </c>
      <c r="K175" s="1" t="s">
        <v>19</v>
      </c>
      <c r="L175" s="1"/>
      <c r="M175" s="5" t="str">
        <f>_xlfn.XLOOKUP(TRIM(C175),MAPPING!A:A,MAPPING!B:B,"CHECK")</f>
        <v>Matheran Road</v>
      </c>
      <c r="N175" s="5" t="str">
        <f>_xlfn.XLOOKUP(D175,MAPPING!G:G,MAPPING!H:H,"CHECK")</f>
        <v>Plot</v>
      </c>
      <c r="O175" s="5" t="str">
        <f>_xlfn.XLOOKUP(E175,MAPPING!J:J,MAPPING!K:K,"CHECK")</f>
        <v>NA</v>
      </c>
      <c r="P175" s="5" t="str">
        <f>_xlfn.XLOOKUP(J175,MAPPING!M:M,MAPPING!N:N,"CHECK")</f>
        <v>Resale</v>
      </c>
      <c r="Q175" s="5">
        <f t="shared" si="15"/>
        <v>59000000</v>
      </c>
      <c r="R175" s="5">
        <f t="shared" si="16"/>
        <v>52272</v>
      </c>
      <c r="S175" s="5">
        <f t="shared" si="17"/>
        <v>1128.7113559840832</v>
      </c>
      <c r="T175" s="5"/>
      <c r="U175" s="5"/>
      <c r="V175" s="5"/>
      <c r="W175" s="5">
        <f t="shared" si="18"/>
        <v>0</v>
      </c>
      <c r="X175" s="5" t="str" cm="1">
        <f t="array" ref="X175">IF(W175=0,"",MEDIANIFS($S$2:$S$209,$M$2:$M$209,U175,$N$2:$N$209,V175,$P$2:$P$209,"Resale"))</f>
        <v/>
      </c>
      <c r="Y175" s="5" t="str">
        <f t="shared" si="19"/>
        <v/>
      </c>
      <c r="Z175" s="5">
        <f t="shared" si="20"/>
        <v>0</v>
      </c>
      <c r="AA175" s="5" t="str" cm="1">
        <f t="array" ref="AA175">IF(Z175=0,"",MEDIAN(_xlfn._xlws.FILTER($Y$2:$Y$209,($M$2:$M$209=U175)*($N$2:$N$209=V175)*($P$2:$P$209="Long Term Rental")*($Y$2:$Y$209&lt;&gt;""),"")))</f>
        <v/>
      </c>
      <c r="AB175" s="5" t="str">
        <f t="shared" si="21"/>
        <v/>
      </c>
      <c r="AC175" s="5" t="str" cm="1">
        <f t="array" ref="AC175">IFERROR(MEDIAN(_xlfn._xlws.FILTER($Q$2:$Q$209,($M$2:$M$209=U175)*($P$2:$P$209="Short Term Rental")*($Q$2:$Q$209&lt;&gt;""))),"")</f>
        <v/>
      </c>
    </row>
    <row r="176" spans="1:29" ht="15" thickBot="1" x14ac:dyDescent="0.4">
      <c r="A176" s="1" t="s">
        <v>61</v>
      </c>
      <c r="B176" s="1" t="s">
        <v>62</v>
      </c>
      <c r="C176" s="1" t="s">
        <v>46</v>
      </c>
      <c r="D176" s="1" t="s">
        <v>63</v>
      </c>
      <c r="E176" s="1" t="s">
        <v>42</v>
      </c>
      <c r="F176" s="3">
        <v>13.8</v>
      </c>
      <c r="G176" s="1" t="s">
        <v>43</v>
      </c>
      <c r="H176" s="3">
        <v>1.64</v>
      </c>
      <c r="I176" s="1" t="s">
        <v>64</v>
      </c>
      <c r="J176" s="1" t="s">
        <v>37</v>
      </c>
      <c r="K176" s="1" t="s">
        <v>53</v>
      </c>
      <c r="L176" s="1"/>
      <c r="M176" s="5" t="str">
        <f>_xlfn.XLOOKUP(TRIM(C176),MAPPING!A:A,MAPPING!B:B,"CHECK")</f>
        <v>Matheran Road</v>
      </c>
      <c r="N176" s="5" t="str">
        <f>_xlfn.XLOOKUP(D176,MAPPING!G:G,MAPPING!H:H,"CHECK")</f>
        <v>Plot</v>
      </c>
      <c r="O176" s="5" t="str">
        <f>_xlfn.XLOOKUP(E176,MAPPING!J:J,MAPPING!K:K,"CHECK")</f>
        <v>NA</v>
      </c>
      <c r="P176" s="5" t="str">
        <f>_xlfn.XLOOKUP(J176,MAPPING!M:M,MAPPING!N:N,"CHECK")</f>
        <v>Resale</v>
      </c>
      <c r="Q176" s="5">
        <f t="shared" si="15"/>
        <v>16399999.999999998</v>
      </c>
      <c r="R176" s="5">
        <f t="shared" si="16"/>
        <v>15028.2</v>
      </c>
      <c r="S176" s="5">
        <f t="shared" si="17"/>
        <v>1091.2817236927908</v>
      </c>
      <c r="T176" s="5"/>
      <c r="U176" s="5"/>
      <c r="V176" s="5"/>
      <c r="W176" s="5">
        <f t="shared" si="18"/>
        <v>0</v>
      </c>
      <c r="X176" s="5" t="str" cm="1">
        <f t="array" ref="X176">IF(W176=0,"",MEDIANIFS($S$2:$S$209,$M$2:$M$209,U176,$N$2:$N$209,V176,$P$2:$P$209,"Resale"))</f>
        <v/>
      </c>
      <c r="Y176" s="5" t="str">
        <f t="shared" si="19"/>
        <v/>
      </c>
      <c r="Z176" s="5">
        <f t="shared" si="20"/>
        <v>0</v>
      </c>
      <c r="AA176" s="5" t="str" cm="1">
        <f t="array" ref="AA176">IF(Z176=0,"",MEDIAN(_xlfn._xlws.FILTER($Y$2:$Y$209,($M$2:$M$209=U176)*($N$2:$N$209=V176)*($P$2:$P$209="Long Term Rental")*($Y$2:$Y$209&lt;&gt;""),"")))</f>
        <v/>
      </c>
      <c r="AB176" s="5" t="str">
        <f t="shared" si="21"/>
        <v/>
      </c>
      <c r="AC176" s="5" t="str" cm="1">
        <f t="array" ref="AC176">IFERROR(MEDIAN(_xlfn._xlws.FILTER($Q$2:$Q$209,($M$2:$M$209=U176)*($P$2:$P$209="Short Term Rental")*($Q$2:$Q$209&lt;&gt;""))),"")</f>
        <v/>
      </c>
    </row>
    <row r="177" spans="1:29" ht="15" thickBot="1" x14ac:dyDescent="0.4">
      <c r="A177" s="1" t="s">
        <v>244</v>
      </c>
      <c r="B177" s="1" t="s">
        <v>245</v>
      </c>
      <c r="C177" s="1" t="s">
        <v>225</v>
      </c>
      <c r="D177" s="1" t="s">
        <v>47</v>
      </c>
      <c r="E177" s="1" t="s">
        <v>35</v>
      </c>
      <c r="F177" s="3">
        <v>2138</v>
      </c>
      <c r="G177" s="1" t="s">
        <v>30</v>
      </c>
      <c r="H177" s="3">
        <v>98.82</v>
      </c>
      <c r="I177" s="1" t="s">
        <v>36</v>
      </c>
      <c r="J177" s="1" t="s">
        <v>37</v>
      </c>
      <c r="K177" s="1" t="s">
        <v>53</v>
      </c>
      <c r="L177" s="1"/>
      <c r="M177" s="5" t="str">
        <f>_xlfn.XLOOKUP(TRIM(C177),MAPPING!A:A,MAPPING!B:B,"CHECK")</f>
        <v>Matheran Road</v>
      </c>
      <c r="N177" s="5" t="str">
        <f>_xlfn.XLOOKUP(D177,MAPPING!G:G,MAPPING!H:H,"CHECK")</f>
        <v>Villa</v>
      </c>
      <c r="O177" s="5" t="str">
        <f>_xlfn.XLOOKUP(E177,MAPPING!J:J,MAPPING!K:K,"CHECK")</f>
        <v>3 BHK</v>
      </c>
      <c r="P177" s="5" t="str">
        <f>_xlfn.XLOOKUP(J177,MAPPING!M:M,MAPPING!N:N,"CHECK")</f>
        <v>Resale</v>
      </c>
      <c r="Q177" s="5">
        <f t="shared" si="15"/>
        <v>9882000</v>
      </c>
      <c r="R177" s="5">
        <f t="shared" si="16"/>
        <v>2138</v>
      </c>
      <c r="S177" s="5">
        <f t="shared" si="17"/>
        <v>4622.076707202993</v>
      </c>
      <c r="T177" s="5"/>
      <c r="U177" s="5"/>
      <c r="V177" s="5"/>
      <c r="W177" s="5">
        <f t="shared" si="18"/>
        <v>0</v>
      </c>
      <c r="X177" s="5" t="str" cm="1">
        <f t="array" ref="X177">IF(W177=0,"",MEDIANIFS($S$2:$S$209,$M$2:$M$209,U177,$N$2:$N$209,V177,$P$2:$P$209,"Resale"))</f>
        <v/>
      </c>
      <c r="Y177" s="5" t="str">
        <f t="shared" si="19"/>
        <v/>
      </c>
      <c r="Z177" s="5">
        <f t="shared" si="20"/>
        <v>0</v>
      </c>
      <c r="AA177" s="5" t="str" cm="1">
        <f t="array" ref="AA177">IF(Z177=0,"",MEDIAN(_xlfn._xlws.FILTER($Y$2:$Y$209,($M$2:$M$209=U177)*($N$2:$N$209=V177)*($P$2:$P$209="Long Term Rental")*($Y$2:$Y$209&lt;&gt;""),"")))</f>
        <v/>
      </c>
      <c r="AB177" s="5" t="str">
        <f t="shared" si="21"/>
        <v/>
      </c>
      <c r="AC177" s="5" t="str" cm="1">
        <f t="array" ref="AC177">IFERROR(MEDIAN(_xlfn._xlws.FILTER($Q$2:$Q$209,($M$2:$M$209=U177)*($P$2:$P$209="Short Term Rental")*($Q$2:$Q$209&lt;&gt;""))),"")</f>
        <v/>
      </c>
    </row>
    <row r="178" spans="1:29" ht="15" thickBot="1" x14ac:dyDescent="0.4">
      <c r="A178" s="1" t="s">
        <v>392</v>
      </c>
      <c r="B178" s="1" t="s">
        <v>116</v>
      </c>
      <c r="C178" s="1" t="s">
        <v>28</v>
      </c>
      <c r="D178" s="1" t="s">
        <v>117</v>
      </c>
      <c r="E178" s="1" t="s">
        <v>42</v>
      </c>
      <c r="F178" s="3">
        <v>3702</v>
      </c>
      <c r="G178" s="1" t="s">
        <v>30</v>
      </c>
      <c r="H178" s="3">
        <v>6.02</v>
      </c>
      <c r="I178" s="1" t="s">
        <v>36</v>
      </c>
      <c r="J178" s="1" t="s">
        <v>37</v>
      </c>
      <c r="K178" s="1" t="s">
        <v>19</v>
      </c>
      <c r="L178" s="1"/>
      <c r="M178" s="5" t="str">
        <f>_xlfn.XLOOKUP(TRIM(C178),MAPPING!A:A,MAPPING!B:B,"CHECK")</f>
        <v>Matheran Road</v>
      </c>
      <c r="N178" s="5" t="str">
        <f>_xlfn.XLOOKUP(D178,MAPPING!G:G,MAPPING!H:H,"CHECK")</f>
        <v>Farmland</v>
      </c>
      <c r="O178" s="5" t="str">
        <f>_xlfn.XLOOKUP(E178,MAPPING!J:J,MAPPING!K:K,"CHECK")</f>
        <v>NA</v>
      </c>
      <c r="P178" s="5" t="str">
        <f>_xlfn.XLOOKUP(J178,MAPPING!M:M,MAPPING!N:N,"CHECK")</f>
        <v>Resale</v>
      </c>
      <c r="Q178" s="5">
        <f t="shared" si="15"/>
        <v>602000</v>
      </c>
      <c r="R178" s="5">
        <f t="shared" si="16"/>
        <v>3702</v>
      </c>
      <c r="S178" s="5">
        <f t="shared" si="17"/>
        <v>162.61480280929229</v>
      </c>
      <c r="T178" s="5"/>
      <c r="U178" s="5"/>
      <c r="V178" s="5"/>
      <c r="W178" s="5">
        <f t="shared" si="18"/>
        <v>0</v>
      </c>
      <c r="X178" s="5" t="str" cm="1">
        <f t="array" ref="X178">IF(W178=0,"",MEDIANIFS($S$2:$S$209,$M$2:$M$209,U178,$N$2:$N$209,V178,$P$2:$P$209,"Resale"))</f>
        <v/>
      </c>
      <c r="Y178" s="5" t="str">
        <f t="shared" si="19"/>
        <v/>
      </c>
      <c r="Z178" s="5">
        <f t="shared" si="20"/>
        <v>0</v>
      </c>
      <c r="AA178" s="5" t="str" cm="1">
        <f t="array" ref="AA178">IF(Z178=0,"",MEDIAN(_xlfn._xlws.FILTER($Y$2:$Y$209,($M$2:$M$209=U178)*($N$2:$N$209=V178)*($P$2:$P$209="Long Term Rental")*($Y$2:$Y$209&lt;&gt;""),"")))</f>
        <v/>
      </c>
      <c r="AB178" s="5" t="str">
        <f t="shared" si="21"/>
        <v/>
      </c>
      <c r="AC178" s="5" t="str" cm="1">
        <f t="array" ref="AC178">IFERROR(MEDIAN(_xlfn._xlws.FILTER($Q$2:$Q$209,($M$2:$M$209=U178)*($P$2:$P$209="Short Term Rental")*($Q$2:$Q$209&lt;&gt;""))),"")</f>
        <v/>
      </c>
    </row>
    <row r="179" spans="1:29" ht="15" thickBot="1" x14ac:dyDescent="0.4">
      <c r="A179" s="1" t="s">
        <v>125</v>
      </c>
      <c r="B179" s="2" t="s">
        <v>126</v>
      </c>
      <c r="C179" s="1" t="s">
        <v>46</v>
      </c>
      <c r="D179" s="1" t="s">
        <v>15</v>
      </c>
      <c r="E179" s="1" t="s">
        <v>71</v>
      </c>
      <c r="F179" s="3">
        <v>1917</v>
      </c>
      <c r="G179" s="1" t="s">
        <v>30</v>
      </c>
      <c r="H179" s="3">
        <v>1.03</v>
      </c>
      <c r="I179" s="1" t="s">
        <v>64</v>
      </c>
      <c r="J179" s="1" t="s">
        <v>37</v>
      </c>
      <c r="K179" s="1" t="s">
        <v>124</v>
      </c>
      <c r="L179" s="1"/>
      <c r="M179" s="5" t="str">
        <f>_xlfn.XLOOKUP(TRIM(C179),MAPPING!A:A,MAPPING!B:B,"CHECK")</f>
        <v>Matheran Road</v>
      </c>
      <c r="N179" s="5" t="str">
        <f>_xlfn.XLOOKUP(D179,MAPPING!G:G,MAPPING!H:H,"CHECK")</f>
        <v>Villa</v>
      </c>
      <c r="O179" s="5" t="str">
        <f>_xlfn.XLOOKUP(E179,MAPPING!J:J,MAPPING!K:K,"CHECK")</f>
        <v>2 BHK</v>
      </c>
      <c r="P179" s="5" t="str">
        <f>_xlfn.XLOOKUP(J179,MAPPING!M:M,MAPPING!N:N,"CHECK")</f>
        <v>Resale</v>
      </c>
      <c r="Q179" s="5">
        <f t="shared" si="15"/>
        <v>10300000</v>
      </c>
      <c r="R179" s="5">
        <f t="shared" si="16"/>
        <v>1917</v>
      </c>
      <c r="S179" s="5">
        <f t="shared" si="17"/>
        <v>5372.9786124152324</v>
      </c>
      <c r="T179" s="5"/>
      <c r="U179" s="5"/>
      <c r="V179" s="5"/>
      <c r="W179" s="5">
        <f t="shared" si="18"/>
        <v>0</v>
      </c>
      <c r="X179" s="5" t="str" cm="1">
        <f t="array" ref="X179">IF(W179=0,"",MEDIANIFS($S$2:$S$209,$M$2:$M$209,U179,$N$2:$N$209,V179,$P$2:$P$209,"Resale"))</f>
        <v/>
      </c>
      <c r="Y179" s="5" t="str">
        <f t="shared" si="19"/>
        <v/>
      </c>
      <c r="Z179" s="5">
        <f t="shared" si="20"/>
        <v>0</v>
      </c>
      <c r="AA179" s="5" t="str" cm="1">
        <f t="array" ref="AA179">IF(Z179=0,"",MEDIAN(_xlfn._xlws.FILTER($Y$2:$Y$209,($M$2:$M$209=U179)*($N$2:$N$209=V179)*($P$2:$P$209="Long Term Rental")*($Y$2:$Y$209&lt;&gt;""),"")))</f>
        <v/>
      </c>
      <c r="AB179" s="5" t="str">
        <f t="shared" si="21"/>
        <v/>
      </c>
      <c r="AC179" s="5" t="str" cm="1">
        <f t="array" ref="AC179">IFERROR(MEDIAN(_xlfn._xlws.FILTER($Q$2:$Q$209,($M$2:$M$209=U179)*($P$2:$P$209="Short Term Rental")*($Q$2:$Q$209&lt;&gt;""))),"")</f>
        <v/>
      </c>
    </row>
    <row r="180" spans="1:29" ht="15" thickBot="1" x14ac:dyDescent="0.4">
      <c r="A180" s="1" t="s">
        <v>448</v>
      </c>
      <c r="B180" s="1" t="s">
        <v>449</v>
      </c>
      <c r="C180" s="1" t="s">
        <v>46</v>
      </c>
      <c r="D180" s="1" t="s">
        <v>47</v>
      </c>
      <c r="E180" s="1" t="s">
        <v>29</v>
      </c>
      <c r="F180" s="3">
        <v>1530</v>
      </c>
      <c r="G180" s="1" t="s">
        <v>30</v>
      </c>
      <c r="H180" s="3">
        <v>75.430000000000007</v>
      </c>
      <c r="I180" s="1" t="s">
        <v>36</v>
      </c>
      <c r="J180" s="1" t="s">
        <v>37</v>
      </c>
      <c r="K180" s="1" t="s">
        <v>19</v>
      </c>
      <c r="L180" s="1"/>
      <c r="M180" s="5" t="str">
        <f>_xlfn.XLOOKUP(TRIM(C180),MAPPING!A:A,MAPPING!B:B,"CHECK")</f>
        <v>Matheran Road</v>
      </c>
      <c r="N180" s="5" t="str">
        <f>_xlfn.XLOOKUP(D180,MAPPING!G:G,MAPPING!H:H,"CHECK")</f>
        <v>Villa</v>
      </c>
      <c r="O180" s="5" t="str">
        <f>_xlfn.XLOOKUP(E180,MAPPING!J:J,MAPPING!K:K,"CHECK")</f>
        <v>4 BHK</v>
      </c>
      <c r="P180" s="5" t="str">
        <f>_xlfn.XLOOKUP(J180,MAPPING!M:M,MAPPING!N:N,"CHECK")</f>
        <v>Resale</v>
      </c>
      <c r="Q180" s="5">
        <f t="shared" si="15"/>
        <v>7543000.0000000009</v>
      </c>
      <c r="R180" s="5">
        <f t="shared" si="16"/>
        <v>1530</v>
      </c>
      <c r="S180" s="5">
        <f t="shared" si="17"/>
        <v>4930.0653594771247</v>
      </c>
      <c r="T180" s="5"/>
      <c r="U180" s="5"/>
      <c r="V180" s="5"/>
      <c r="W180" s="5">
        <f t="shared" si="18"/>
        <v>0</v>
      </c>
      <c r="X180" s="5" t="str" cm="1">
        <f t="array" ref="X180">IF(W180=0,"",MEDIANIFS($S$2:$S$209,$M$2:$M$209,U180,$N$2:$N$209,V180,$P$2:$P$209,"Resale"))</f>
        <v/>
      </c>
      <c r="Y180" s="5" t="str">
        <f t="shared" si="19"/>
        <v/>
      </c>
      <c r="Z180" s="5">
        <f t="shared" si="20"/>
        <v>0</v>
      </c>
      <c r="AA180" s="5" t="str" cm="1">
        <f t="array" ref="AA180">IF(Z180=0,"",MEDIAN(_xlfn._xlws.FILTER($Y$2:$Y$209,($M$2:$M$209=U180)*($N$2:$N$209=V180)*($P$2:$P$209="Long Term Rental")*($Y$2:$Y$209&lt;&gt;""),"")))</f>
        <v/>
      </c>
      <c r="AB180" s="5" t="str">
        <f t="shared" si="21"/>
        <v/>
      </c>
      <c r="AC180" s="5" t="str" cm="1">
        <f t="array" ref="AC180">IFERROR(MEDIAN(_xlfn._xlws.FILTER($Q$2:$Q$209,($M$2:$M$209=U180)*($P$2:$P$209="Short Term Rental")*($Q$2:$Q$209&lt;&gt;""))),"")</f>
        <v/>
      </c>
    </row>
    <row r="181" spans="1:29" ht="15" thickBot="1" x14ac:dyDescent="0.4">
      <c r="A181" s="1" t="s">
        <v>405</v>
      </c>
      <c r="B181" s="1" t="s">
        <v>103</v>
      </c>
      <c r="C181" s="1" t="s">
        <v>46</v>
      </c>
      <c r="D181" s="1" t="s">
        <v>41</v>
      </c>
      <c r="E181" s="1" t="s">
        <v>42</v>
      </c>
      <c r="F181" s="1"/>
      <c r="G181" s="1" t="s">
        <v>85</v>
      </c>
      <c r="H181" s="3">
        <v>3.35</v>
      </c>
      <c r="I181" s="1" t="s">
        <v>64</v>
      </c>
      <c r="J181" s="1" t="s">
        <v>37</v>
      </c>
      <c r="K181" s="1" t="s">
        <v>19</v>
      </c>
      <c r="L181" s="1"/>
      <c r="M181" s="5" t="str">
        <f>_xlfn.XLOOKUP(TRIM(C181),MAPPING!A:A,MAPPING!B:B,"CHECK")</f>
        <v>Matheran Road</v>
      </c>
      <c r="N181" s="5" t="str">
        <f>_xlfn.XLOOKUP(D181,MAPPING!G:G,MAPPING!H:H,"CHECK")</f>
        <v>Plot</v>
      </c>
      <c r="O181" s="5" t="str">
        <f>_xlfn.XLOOKUP(E181,MAPPING!J:J,MAPPING!K:K,"CHECK")</f>
        <v>NA</v>
      </c>
      <c r="P181" s="5" t="str">
        <f>_xlfn.XLOOKUP(J181,MAPPING!M:M,MAPPING!N:N,"CHECK")</f>
        <v>Resale</v>
      </c>
      <c r="Q181" s="5">
        <f t="shared" si="15"/>
        <v>33500000</v>
      </c>
      <c r="R181" s="5">
        <f t="shared" si="16"/>
        <v>0</v>
      </c>
      <c r="S181" s="5" t="str">
        <f t="shared" si="17"/>
        <v/>
      </c>
      <c r="T181" s="5"/>
      <c r="U181" s="5"/>
      <c r="V181" s="5"/>
      <c r="W181" s="5">
        <f t="shared" si="18"/>
        <v>0</v>
      </c>
      <c r="X181" s="5" t="str" cm="1">
        <f t="array" ref="X181">IF(W181=0,"",MEDIANIFS($S$2:$S$209,$M$2:$M$209,U181,$N$2:$N$209,V181,$P$2:$P$209,"Resale"))</f>
        <v/>
      </c>
      <c r="Y181" s="5" t="str">
        <f t="shared" si="19"/>
        <v/>
      </c>
      <c r="Z181" s="5">
        <f t="shared" si="20"/>
        <v>0</v>
      </c>
      <c r="AA181" s="5" t="str" cm="1">
        <f t="array" ref="AA181">IF(Z181=0,"",MEDIAN(_xlfn._xlws.FILTER($Y$2:$Y$209,($M$2:$M$209=U181)*($N$2:$N$209=V181)*($P$2:$P$209="Long Term Rental")*($Y$2:$Y$209&lt;&gt;""),"")))</f>
        <v/>
      </c>
      <c r="AB181" s="5" t="str">
        <f t="shared" si="21"/>
        <v/>
      </c>
      <c r="AC181" s="5" t="str" cm="1">
        <f t="array" ref="AC181">IFERROR(MEDIAN(_xlfn._xlws.FILTER($Q$2:$Q$209,($M$2:$M$209=U181)*($P$2:$P$209="Short Term Rental")*($Q$2:$Q$209&lt;&gt;""))),"")</f>
        <v/>
      </c>
    </row>
    <row r="182" spans="1:29" ht="15" thickBot="1" x14ac:dyDescent="0.4">
      <c r="A182" s="1" t="s">
        <v>337</v>
      </c>
      <c r="B182" s="1" t="s">
        <v>338</v>
      </c>
      <c r="C182" s="2" t="s">
        <v>74</v>
      </c>
      <c r="D182" s="1" t="s">
        <v>131</v>
      </c>
      <c r="E182" s="1" t="s">
        <v>42</v>
      </c>
      <c r="F182" s="3">
        <v>33.200000000000003</v>
      </c>
      <c r="G182" s="1" t="s">
        <v>43</v>
      </c>
      <c r="H182" s="3">
        <v>3.22</v>
      </c>
      <c r="I182" s="1" t="s">
        <v>64</v>
      </c>
      <c r="J182" s="1" t="s">
        <v>37</v>
      </c>
      <c r="K182" s="1" t="s">
        <v>19</v>
      </c>
      <c r="L182" s="1"/>
      <c r="M182" s="5" t="str">
        <f>_xlfn.XLOOKUP(TRIM(C182),MAPPING!A:A,MAPPING!B:B,"CHECK")</f>
        <v>Matheran Road</v>
      </c>
      <c r="N182" s="5" t="str">
        <f>_xlfn.XLOOKUP(D182,MAPPING!G:G,MAPPING!H:H,"CHECK")</f>
        <v>Plot</v>
      </c>
      <c r="O182" s="5" t="str">
        <f>_xlfn.XLOOKUP(E182,MAPPING!J:J,MAPPING!K:K,"CHECK")</f>
        <v>NA</v>
      </c>
      <c r="P182" s="5" t="str">
        <f>_xlfn.XLOOKUP(J182,MAPPING!M:M,MAPPING!N:N,"CHECK")</f>
        <v>Resale</v>
      </c>
      <c r="Q182" s="5">
        <f t="shared" si="15"/>
        <v>32200000.000000004</v>
      </c>
      <c r="R182" s="5">
        <f t="shared" si="16"/>
        <v>36154.800000000003</v>
      </c>
      <c r="S182" s="5">
        <f t="shared" si="17"/>
        <v>890.61480080100023</v>
      </c>
      <c r="T182" s="5"/>
      <c r="U182" s="5"/>
      <c r="V182" s="5"/>
      <c r="W182" s="5">
        <f t="shared" si="18"/>
        <v>0</v>
      </c>
      <c r="X182" s="5" t="str" cm="1">
        <f t="array" ref="X182">IF(W182=0,"",MEDIANIFS($S$2:$S$209,$M$2:$M$209,U182,$N$2:$N$209,V182,$P$2:$P$209,"Resale"))</f>
        <v/>
      </c>
      <c r="Y182" s="5" t="str">
        <f t="shared" si="19"/>
        <v/>
      </c>
      <c r="Z182" s="5">
        <f t="shared" si="20"/>
        <v>0</v>
      </c>
      <c r="AA182" s="5" t="str" cm="1">
        <f t="array" ref="AA182">IF(Z182=0,"",MEDIAN(_xlfn._xlws.FILTER($Y$2:$Y$209,($M$2:$M$209=U182)*($N$2:$N$209=V182)*($P$2:$P$209="Long Term Rental")*($Y$2:$Y$209&lt;&gt;""),"")))</f>
        <v/>
      </c>
      <c r="AB182" s="5" t="str">
        <f t="shared" si="21"/>
        <v/>
      </c>
      <c r="AC182" s="5" t="str" cm="1">
        <f t="array" ref="AC182">IFERROR(MEDIAN(_xlfn._xlws.FILTER($Q$2:$Q$209,($M$2:$M$209=U182)*($P$2:$P$209="Short Term Rental")*($Q$2:$Q$209&lt;&gt;""))),"")</f>
        <v/>
      </c>
    </row>
    <row r="183" spans="1:29" ht="15" thickBot="1" x14ac:dyDescent="0.4">
      <c r="A183" s="1" t="s">
        <v>251</v>
      </c>
      <c r="B183" s="1" t="s">
        <v>252</v>
      </c>
      <c r="C183" s="1" t="s">
        <v>46</v>
      </c>
      <c r="D183" s="1" t="s">
        <v>131</v>
      </c>
      <c r="E183" s="1" t="s">
        <v>42</v>
      </c>
      <c r="F183" s="3">
        <v>35.299999999999997</v>
      </c>
      <c r="G183" s="1" t="s">
        <v>43</v>
      </c>
      <c r="H183" s="3">
        <v>3.61</v>
      </c>
      <c r="I183" s="1" t="s">
        <v>64</v>
      </c>
      <c r="J183" s="1" t="s">
        <v>37</v>
      </c>
      <c r="K183" s="1" t="s">
        <v>19</v>
      </c>
      <c r="L183" s="1"/>
      <c r="M183" s="5" t="str">
        <f>_xlfn.XLOOKUP(TRIM(C183),MAPPING!A:A,MAPPING!B:B,"CHECK")</f>
        <v>Matheran Road</v>
      </c>
      <c r="N183" s="5" t="str">
        <f>_xlfn.XLOOKUP(D183,MAPPING!G:G,MAPPING!H:H,"CHECK")</f>
        <v>Plot</v>
      </c>
      <c r="O183" s="5" t="str">
        <f>_xlfn.XLOOKUP(E183,MAPPING!J:J,MAPPING!K:K,"CHECK")</f>
        <v>NA</v>
      </c>
      <c r="P183" s="5" t="str">
        <f>_xlfn.XLOOKUP(J183,MAPPING!M:M,MAPPING!N:N,"CHECK")</f>
        <v>Resale</v>
      </c>
      <c r="Q183" s="5">
        <f t="shared" si="15"/>
        <v>36100000</v>
      </c>
      <c r="R183" s="5">
        <f t="shared" si="16"/>
        <v>38441.699999999997</v>
      </c>
      <c r="S183" s="5">
        <f t="shared" si="17"/>
        <v>939.08437972306126</v>
      </c>
      <c r="T183" s="5"/>
      <c r="U183" s="5"/>
      <c r="V183" s="5"/>
      <c r="W183" s="5">
        <f t="shared" si="18"/>
        <v>0</v>
      </c>
      <c r="X183" s="5" t="str" cm="1">
        <f t="array" ref="X183">IF(W183=0,"",MEDIANIFS($S$2:$S$209,$M$2:$M$209,U183,$N$2:$N$209,V183,$P$2:$P$209,"Resale"))</f>
        <v/>
      </c>
      <c r="Y183" s="5" t="str">
        <f t="shared" si="19"/>
        <v/>
      </c>
      <c r="Z183" s="5">
        <f t="shared" si="20"/>
        <v>0</v>
      </c>
      <c r="AA183" s="5" t="str" cm="1">
        <f t="array" ref="AA183">IF(Z183=0,"",MEDIAN(_xlfn._xlws.FILTER($Y$2:$Y$209,($M$2:$M$209=U183)*($N$2:$N$209=V183)*($P$2:$P$209="Long Term Rental")*($Y$2:$Y$209&lt;&gt;""),"")))</f>
        <v/>
      </c>
      <c r="AB183" s="5" t="str">
        <f t="shared" si="21"/>
        <v/>
      </c>
      <c r="AC183" s="5" t="str" cm="1">
        <f t="array" ref="AC183">IFERROR(MEDIAN(_xlfn._xlws.FILTER($Q$2:$Q$209,($M$2:$M$209=U183)*($P$2:$P$209="Short Term Rental")*($Q$2:$Q$209&lt;&gt;""))),"")</f>
        <v/>
      </c>
    </row>
    <row r="184" spans="1:29" ht="15" thickBot="1" x14ac:dyDescent="0.4">
      <c r="A184" s="1" t="s">
        <v>289</v>
      </c>
      <c r="B184" s="1" t="s">
        <v>207</v>
      </c>
      <c r="C184" s="1" t="s">
        <v>28</v>
      </c>
      <c r="D184" s="1" t="s">
        <v>155</v>
      </c>
      <c r="E184" s="1" t="s">
        <v>42</v>
      </c>
      <c r="F184" s="3">
        <v>3.14</v>
      </c>
      <c r="G184" s="1" t="s">
        <v>85</v>
      </c>
      <c r="H184" s="3">
        <v>2.2000000000000002</v>
      </c>
      <c r="I184" s="1" t="s">
        <v>64</v>
      </c>
      <c r="J184" s="1" t="s">
        <v>37</v>
      </c>
      <c r="K184" s="1" t="s">
        <v>19</v>
      </c>
      <c r="L184" s="1"/>
      <c r="M184" s="5" t="str">
        <f>_xlfn.XLOOKUP(TRIM(C184),MAPPING!A:A,MAPPING!B:B,"CHECK")</f>
        <v>Matheran Road</v>
      </c>
      <c r="N184" s="5" t="str">
        <f>_xlfn.XLOOKUP(D184,MAPPING!G:G,MAPPING!H:H,"CHECK")</f>
        <v>Farmland</v>
      </c>
      <c r="O184" s="5" t="str">
        <f>_xlfn.XLOOKUP(E184,MAPPING!J:J,MAPPING!K:K,"CHECK")</f>
        <v>NA</v>
      </c>
      <c r="P184" s="5" t="str">
        <f>_xlfn.XLOOKUP(J184,MAPPING!M:M,MAPPING!N:N,"CHECK")</f>
        <v>Resale</v>
      </c>
      <c r="Q184" s="5">
        <f t="shared" si="15"/>
        <v>22000000</v>
      </c>
      <c r="R184" s="5">
        <f t="shared" si="16"/>
        <v>136778.4</v>
      </c>
      <c r="S184" s="5">
        <f t="shared" si="17"/>
        <v>160.8441098886959</v>
      </c>
      <c r="T184" s="5"/>
      <c r="U184" s="5"/>
      <c r="V184" s="5"/>
      <c r="W184" s="5">
        <f t="shared" si="18"/>
        <v>0</v>
      </c>
      <c r="X184" s="5" t="str" cm="1">
        <f t="array" ref="X184">IF(W184=0,"",MEDIANIFS($S$2:$S$209,$M$2:$M$209,U184,$N$2:$N$209,V184,$P$2:$P$209,"Resale"))</f>
        <v/>
      </c>
      <c r="Y184" s="5" t="str">
        <f t="shared" si="19"/>
        <v/>
      </c>
      <c r="Z184" s="5">
        <f t="shared" si="20"/>
        <v>0</v>
      </c>
      <c r="AA184" s="5" t="str" cm="1">
        <f t="array" ref="AA184">IF(Z184=0,"",MEDIAN(_xlfn._xlws.FILTER($Y$2:$Y$209,($M$2:$M$209=U184)*($N$2:$N$209=V184)*($P$2:$P$209="Long Term Rental")*($Y$2:$Y$209&lt;&gt;""),"")))</f>
        <v/>
      </c>
      <c r="AB184" s="5" t="str">
        <f t="shared" si="21"/>
        <v/>
      </c>
      <c r="AC184" s="5" t="str" cm="1">
        <f t="array" ref="AC184">IFERROR(MEDIAN(_xlfn._xlws.FILTER($Q$2:$Q$209,($M$2:$M$209=U184)*($P$2:$P$209="Short Term Rental")*($Q$2:$Q$209&lt;&gt;""))),"")</f>
        <v/>
      </c>
    </row>
    <row r="185" spans="1:29" ht="15" thickBot="1" x14ac:dyDescent="0.4">
      <c r="A185" s="1" t="s">
        <v>319</v>
      </c>
      <c r="B185" s="1" t="s">
        <v>116</v>
      </c>
      <c r="C185" s="1" t="s">
        <v>28</v>
      </c>
      <c r="D185" s="1" t="s">
        <v>117</v>
      </c>
      <c r="E185" s="1" t="s">
        <v>42</v>
      </c>
      <c r="F185" s="3">
        <v>33.4</v>
      </c>
      <c r="G185" s="1" t="s">
        <v>43</v>
      </c>
      <c r="H185" s="3">
        <v>67.77</v>
      </c>
      <c r="I185" s="1" t="s">
        <v>36</v>
      </c>
      <c r="J185" s="1" t="s">
        <v>37</v>
      </c>
      <c r="K185" s="1" t="s">
        <v>124</v>
      </c>
      <c r="L185" s="1"/>
      <c r="M185" s="5" t="str">
        <f>_xlfn.XLOOKUP(TRIM(C185),MAPPING!A:A,MAPPING!B:B,"CHECK")</f>
        <v>Matheran Road</v>
      </c>
      <c r="N185" s="5" t="str">
        <f>_xlfn.XLOOKUP(D185,MAPPING!G:G,MAPPING!H:H,"CHECK")</f>
        <v>Farmland</v>
      </c>
      <c r="O185" s="5" t="str">
        <f>_xlfn.XLOOKUP(E185,MAPPING!J:J,MAPPING!K:K,"CHECK")</f>
        <v>NA</v>
      </c>
      <c r="P185" s="5" t="str">
        <f>_xlfn.XLOOKUP(J185,MAPPING!M:M,MAPPING!N:N,"CHECK")</f>
        <v>Resale</v>
      </c>
      <c r="Q185" s="5">
        <f t="shared" si="15"/>
        <v>6777000</v>
      </c>
      <c r="R185" s="5">
        <f t="shared" si="16"/>
        <v>36372.6</v>
      </c>
      <c r="S185" s="5">
        <f t="shared" si="17"/>
        <v>186.32157173256792</v>
      </c>
      <c r="T185" s="5"/>
      <c r="U185" s="5"/>
      <c r="V185" s="5"/>
      <c r="W185" s="5">
        <f t="shared" si="18"/>
        <v>0</v>
      </c>
      <c r="X185" s="5" t="str" cm="1">
        <f t="array" ref="X185">IF(W185=0,"",MEDIANIFS($S$2:$S$209,$M$2:$M$209,U185,$N$2:$N$209,V185,$P$2:$P$209,"Resale"))</f>
        <v/>
      </c>
      <c r="Y185" s="5" t="str">
        <f t="shared" si="19"/>
        <v/>
      </c>
      <c r="Z185" s="5">
        <f t="shared" si="20"/>
        <v>0</v>
      </c>
      <c r="AA185" s="5" t="str" cm="1">
        <f t="array" ref="AA185">IF(Z185=0,"",MEDIAN(_xlfn._xlws.FILTER($Y$2:$Y$209,($M$2:$M$209=U185)*($N$2:$N$209=V185)*($P$2:$P$209="Long Term Rental")*($Y$2:$Y$209&lt;&gt;""),"")))</f>
        <v/>
      </c>
      <c r="AB185" s="5" t="str">
        <f t="shared" si="21"/>
        <v/>
      </c>
      <c r="AC185" s="5" t="str" cm="1">
        <f t="array" ref="AC185">IFERROR(MEDIAN(_xlfn._xlws.FILTER($Q$2:$Q$209,($M$2:$M$209=U185)*($P$2:$P$209="Short Term Rental")*($Q$2:$Q$209&lt;&gt;""))),"")</f>
        <v/>
      </c>
    </row>
    <row r="186" spans="1:29" ht="15" thickBot="1" x14ac:dyDescent="0.4">
      <c r="A186" s="1" t="s">
        <v>290</v>
      </c>
      <c r="B186" s="2" t="s">
        <v>291</v>
      </c>
      <c r="C186" s="2" t="s">
        <v>74</v>
      </c>
      <c r="D186" s="1" t="s">
        <v>117</v>
      </c>
      <c r="E186" s="1" t="s">
        <v>42</v>
      </c>
      <c r="F186" s="3">
        <v>13.8</v>
      </c>
      <c r="G186" s="1" t="s">
        <v>43</v>
      </c>
      <c r="H186" s="3">
        <v>28.57</v>
      </c>
      <c r="I186" s="1" t="s">
        <v>36</v>
      </c>
      <c r="J186" s="1" t="s">
        <v>37</v>
      </c>
      <c r="K186" s="1" t="s">
        <v>19</v>
      </c>
      <c r="L186" s="1"/>
      <c r="M186" s="5" t="str">
        <f>_xlfn.XLOOKUP(TRIM(C186),MAPPING!A:A,MAPPING!B:B,"CHECK")</f>
        <v>Matheran Road</v>
      </c>
      <c r="N186" s="5" t="str">
        <f>_xlfn.XLOOKUP(D186,MAPPING!G:G,MAPPING!H:H,"CHECK")</f>
        <v>Farmland</v>
      </c>
      <c r="O186" s="5" t="str">
        <f>_xlfn.XLOOKUP(E186,MAPPING!J:J,MAPPING!K:K,"CHECK")</f>
        <v>NA</v>
      </c>
      <c r="P186" s="5" t="str">
        <f>_xlfn.XLOOKUP(J186,MAPPING!M:M,MAPPING!N:N,"CHECK")</f>
        <v>Resale</v>
      </c>
      <c r="Q186" s="5">
        <f t="shared" si="15"/>
        <v>2857000</v>
      </c>
      <c r="R186" s="5">
        <f t="shared" si="16"/>
        <v>15028.2</v>
      </c>
      <c r="S186" s="5">
        <f t="shared" si="17"/>
        <v>190.10926125550631</v>
      </c>
      <c r="T186" s="5"/>
      <c r="U186" s="5"/>
      <c r="V186" s="5"/>
      <c r="W186" s="5">
        <f t="shared" si="18"/>
        <v>0</v>
      </c>
      <c r="X186" s="5" t="str" cm="1">
        <f t="array" ref="X186">IF(W186=0,"",MEDIANIFS($S$2:$S$209,$M$2:$M$209,U186,$N$2:$N$209,V186,$P$2:$P$209,"Resale"))</f>
        <v/>
      </c>
      <c r="Y186" s="5" t="str">
        <f t="shared" si="19"/>
        <v/>
      </c>
      <c r="Z186" s="5">
        <f t="shared" si="20"/>
        <v>0</v>
      </c>
      <c r="AA186" s="5" t="str" cm="1">
        <f t="array" ref="AA186">IF(Z186=0,"",MEDIAN(_xlfn._xlws.FILTER($Y$2:$Y$209,($M$2:$M$209=U186)*($N$2:$N$209=V186)*($P$2:$P$209="Long Term Rental")*($Y$2:$Y$209&lt;&gt;""),"")))</f>
        <v/>
      </c>
      <c r="AB186" s="5" t="str">
        <f t="shared" si="21"/>
        <v/>
      </c>
      <c r="AC186" s="5" t="str" cm="1">
        <f t="array" ref="AC186">IFERROR(MEDIAN(_xlfn._xlws.FILTER($Q$2:$Q$209,($M$2:$M$209=U186)*($P$2:$P$209="Short Term Rental")*($Q$2:$Q$209&lt;&gt;""))),"")</f>
        <v/>
      </c>
    </row>
    <row r="187" spans="1:29" ht="15" thickBot="1" x14ac:dyDescent="0.4">
      <c r="A187" s="1" t="s">
        <v>362</v>
      </c>
      <c r="B187" s="2" t="s">
        <v>363</v>
      </c>
      <c r="C187" s="1" t="s">
        <v>46</v>
      </c>
      <c r="D187" s="1" t="s">
        <v>34</v>
      </c>
      <c r="E187" s="1" t="s">
        <v>71</v>
      </c>
      <c r="F187" s="3">
        <v>2342</v>
      </c>
      <c r="G187" s="1" t="s">
        <v>30</v>
      </c>
      <c r="H187" s="3">
        <v>13</v>
      </c>
      <c r="I187" s="1" t="s">
        <v>64</v>
      </c>
      <c r="J187" s="1" t="s">
        <v>37</v>
      </c>
      <c r="K187" s="1" t="s">
        <v>19</v>
      </c>
      <c r="L187" s="1"/>
      <c r="M187" s="5" t="str">
        <f>_xlfn.XLOOKUP(TRIM(C187),MAPPING!A:A,MAPPING!B:B,"CHECK")</f>
        <v>Matheran Road</v>
      </c>
      <c r="N187" s="5" t="str">
        <f>_xlfn.XLOOKUP(D187,MAPPING!G:G,MAPPING!H:H,"CHECK")</f>
        <v>Villa</v>
      </c>
      <c r="O187" s="5" t="str">
        <f>_xlfn.XLOOKUP(E187,MAPPING!J:J,MAPPING!K:K,"CHECK")</f>
        <v>2 BHK</v>
      </c>
      <c r="P187" s="5" t="str">
        <f>_xlfn.XLOOKUP(J187,MAPPING!M:M,MAPPING!N:N,"CHECK")</f>
        <v>Resale</v>
      </c>
      <c r="Q187" s="5">
        <f t="shared" si="15"/>
        <v>130000000</v>
      </c>
      <c r="R187" s="5">
        <f t="shared" si="16"/>
        <v>2342</v>
      </c>
      <c r="S187" s="5">
        <f t="shared" si="17"/>
        <v>55508.112724167375</v>
      </c>
      <c r="T187" s="5"/>
      <c r="U187" s="5"/>
      <c r="V187" s="5"/>
      <c r="W187" s="5">
        <f t="shared" si="18"/>
        <v>0</v>
      </c>
      <c r="X187" s="5" t="str" cm="1">
        <f t="array" ref="X187">IF(W187=0,"",MEDIANIFS($S$2:$S$209,$M$2:$M$209,U187,$N$2:$N$209,V187,$P$2:$P$209,"Resale"))</f>
        <v/>
      </c>
      <c r="Y187" s="5" t="str">
        <f t="shared" si="19"/>
        <v/>
      </c>
      <c r="Z187" s="5">
        <f t="shared" si="20"/>
        <v>0</v>
      </c>
      <c r="AA187" s="5" t="str" cm="1">
        <f t="array" ref="AA187">IF(Z187=0,"",MEDIAN(_xlfn._xlws.FILTER($Y$2:$Y$209,($M$2:$M$209=U187)*($N$2:$N$209=V187)*($P$2:$P$209="Long Term Rental")*($Y$2:$Y$209&lt;&gt;""),"")))</f>
        <v/>
      </c>
      <c r="AB187" s="5" t="str">
        <f t="shared" si="21"/>
        <v/>
      </c>
      <c r="AC187" s="5" t="str" cm="1">
        <f t="array" ref="AC187">IFERROR(MEDIAN(_xlfn._xlws.FILTER($Q$2:$Q$209,($M$2:$M$209=U187)*($P$2:$P$209="Short Term Rental")*($Q$2:$Q$209&lt;&gt;""))),"")</f>
        <v/>
      </c>
    </row>
    <row r="188" spans="1:29" ht="15" thickBot="1" x14ac:dyDescent="0.4">
      <c r="A188" s="1" t="s">
        <v>378</v>
      </c>
      <c r="B188" s="1" t="s">
        <v>379</v>
      </c>
      <c r="C188" s="1" t="s">
        <v>28</v>
      </c>
      <c r="D188" s="1" t="s">
        <v>166</v>
      </c>
      <c r="E188" s="1" t="s">
        <v>42</v>
      </c>
      <c r="F188" s="3">
        <v>3.1</v>
      </c>
      <c r="G188" s="1" t="s">
        <v>85</v>
      </c>
      <c r="H188" s="3">
        <v>2.16</v>
      </c>
      <c r="I188" s="1" t="s">
        <v>64</v>
      </c>
      <c r="J188" s="1" t="s">
        <v>37</v>
      </c>
      <c r="K188" s="1" t="s">
        <v>19</v>
      </c>
      <c r="L188" s="1"/>
      <c r="M188" s="5" t="str">
        <f>_xlfn.XLOOKUP(TRIM(C188),MAPPING!A:A,MAPPING!B:B,"CHECK")</f>
        <v>Matheran Road</v>
      </c>
      <c r="N188" s="5" t="str">
        <f>_xlfn.XLOOKUP(D188,MAPPING!G:G,MAPPING!H:H,"CHECK")</f>
        <v>Farmland</v>
      </c>
      <c r="O188" s="5" t="str">
        <f>_xlfn.XLOOKUP(E188,MAPPING!J:J,MAPPING!K:K,"CHECK")</f>
        <v>NA</v>
      </c>
      <c r="P188" s="5" t="str">
        <f>_xlfn.XLOOKUP(J188,MAPPING!M:M,MAPPING!N:N,"CHECK")</f>
        <v>Resale</v>
      </c>
      <c r="Q188" s="5">
        <f t="shared" si="15"/>
        <v>21600000</v>
      </c>
      <c r="R188" s="5">
        <f t="shared" si="16"/>
        <v>135036</v>
      </c>
      <c r="S188" s="5">
        <f t="shared" si="17"/>
        <v>159.95734470807784</v>
      </c>
      <c r="T188" s="5"/>
      <c r="U188" s="5"/>
      <c r="V188" s="5"/>
      <c r="W188" s="5">
        <f t="shared" si="18"/>
        <v>0</v>
      </c>
      <c r="X188" s="5" t="str" cm="1">
        <f t="array" ref="X188">IF(W188=0,"",MEDIANIFS($S$2:$S$209,$M$2:$M$209,U188,$N$2:$N$209,V188,$P$2:$P$209,"Resale"))</f>
        <v/>
      </c>
      <c r="Y188" s="5" t="str">
        <f t="shared" si="19"/>
        <v/>
      </c>
      <c r="Z188" s="5">
        <f t="shared" si="20"/>
        <v>0</v>
      </c>
      <c r="AA188" s="5" t="str" cm="1">
        <f t="array" ref="AA188">IF(Z188=0,"",MEDIAN(_xlfn._xlws.FILTER($Y$2:$Y$209,($M$2:$M$209=U188)*($N$2:$N$209=V188)*($P$2:$P$209="Long Term Rental")*($Y$2:$Y$209&lt;&gt;""),"")))</f>
        <v/>
      </c>
      <c r="AB188" s="5" t="str">
        <f t="shared" si="21"/>
        <v/>
      </c>
      <c r="AC188" s="5" t="str" cm="1">
        <f t="array" ref="AC188">IFERROR(MEDIAN(_xlfn._xlws.FILTER($Q$2:$Q$209,($M$2:$M$209=U188)*($P$2:$P$209="Short Term Rental")*($Q$2:$Q$209&lt;&gt;""))),"")</f>
        <v/>
      </c>
    </row>
    <row r="189" spans="1:29" ht="15" thickBot="1" x14ac:dyDescent="0.4">
      <c r="A189" s="1" t="s">
        <v>223</v>
      </c>
      <c r="B189" s="1" t="s">
        <v>224</v>
      </c>
      <c r="C189" s="1" t="s">
        <v>225</v>
      </c>
      <c r="D189" s="1" t="s">
        <v>15</v>
      </c>
      <c r="E189" s="1" t="s">
        <v>35</v>
      </c>
      <c r="F189" s="3">
        <v>1169</v>
      </c>
      <c r="G189" s="1" t="s">
        <v>30</v>
      </c>
      <c r="H189" s="3">
        <v>17500</v>
      </c>
      <c r="I189" s="1" t="s">
        <v>17</v>
      </c>
      <c r="J189" s="1" t="s">
        <v>57</v>
      </c>
      <c r="K189" s="1" t="s">
        <v>19</v>
      </c>
      <c r="L189" s="1"/>
      <c r="M189" s="5" t="str">
        <f>_xlfn.XLOOKUP(TRIM(C189),MAPPING!A:A,MAPPING!B:B,"CHECK")</f>
        <v>Matheran Road</v>
      </c>
      <c r="N189" s="5" t="str">
        <f>_xlfn.XLOOKUP(D189,MAPPING!G:G,MAPPING!H:H,"CHECK")</f>
        <v>Villa</v>
      </c>
      <c r="O189" s="5" t="str">
        <f>_xlfn.XLOOKUP(E189,MAPPING!J:J,MAPPING!K:K,"CHECK")</f>
        <v>3 BHK</v>
      </c>
      <c r="P189" s="5" t="str">
        <f>_xlfn.XLOOKUP(J189,MAPPING!M:M,MAPPING!N:N,"CHECK")</f>
        <v>Long Term Rental</v>
      </c>
      <c r="Q189" s="5">
        <f t="shared" si="15"/>
        <v>17500</v>
      </c>
      <c r="R189" s="5">
        <f t="shared" si="16"/>
        <v>1169</v>
      </c>
      <c r="S189" s="5" t="str">
        <f t="shared" si="17"/>
        <v/>
      </c>
      <c r="T189" s="5"/>
      <c r="U189" s="5"/>
      <c r="V189" s="5"/>
      <c r="W189" s="5">
        <f t="shared" si="18"/>
        <v>0</v>
      </c>
      <c r="X189" s="5" t="str" cm="1">
        <f t="array" ref="X189">IF(W189=0,"",MEDIANIFS($S$2:$S$209,$M$2:$M$209,U189,$N$2:$N$209,V189,$P$2:$P$209,"Resale"))</f>
        <v/>
      </c>
      <c r="Y189" s="5">
        <f t="shared" si="19"/>
        <v>14.970059880239521</v>
      </c>
      <c r="Z189" s="5">
        <f t="shared" si="20"/>
        <v>0</v>
      </c>
      <c r="AA189" s="5" t="str" cm="1">
        <f t="array" ref="AA189">IF(Z189=0,"",MEDIAN(_xlfn._xlws.FILTER($Y$2:$Y$209,($M$2:$M$209=U189)*($N$2:$N$209=V189)*($P$2:$P$209="Long Term Rental")*($Y$2:$Y$209&lt;&gt;""),"")))</f>
        <v/>
      </c>
      <c r="AB189" s="5" t="str">
        <f t="shared" si="21"/>
        <v/>
      </c>
      <c r="AC189" s="5" t="str" cm="1">
        <f t="array" ref="AC189">IFERROR(MEDIAN(_xlfn._xlws.FILTER($Q$2:$Q$209,($M$2:$M$209=U189)*($P$2:$P$209="Short Term Rental")*($Q$2:$Q$209&lt;&gt;""))),"")</f>
        <v/>
      </c>
    </row>
    <row r="190" spans="1:29" ht="15" thickBot="1" x14ac:dyDescent="0.4">
      <c r="A190" s="1" t="s">
        <v>160</v>
      </c>
      <c r="B190" s="1" t="s">
        <v>161</v>
      </c>
      <c r="C190" s="1" t="s">
        <v>460</v>
      </c>
      <c r="D190" s="1" t="s">
        <v>47</v>
      </c>
      <c r="E190" s="1" t="s">
        <v>29</v>
      </c>
      <c r="F190" s="3">
        <v>1084</v>
      </c>
      <c r="G190" s="1" t="s">
        <v>30</v>
      </c>
      <c r="H190" s="3">
        <v>16000</v>
      </c>
      <c r="I190" s="1" t="s">
        <v>17</v>
      </c>
      <c r="J190" s="1" t="s">
        <v>57</v>
      </c>
      <c r="K190" s="1" t="s">
        <v>19</v>
      </c>
      <c r="L190" s="1"/>
      <c r="M190" s="5" t="str">
        <f>_xlfn.XLOOKUP(TRIM(C190),MAPPING!A:A,MAPPING!B:B,"CHECK")</f>
        <v>Matheran Road</v>
      </c>
      <c r="N190" s="5" t="str">
        <f>_xlfn.XLOOKUP(D190,MAPPING!G:G,MAPPING!H:H,"CHECK")</f>
        <v>Villa</v>
      </c>
      <c r="O190" s="5" t="str">
        <f>_xlfn.XLOOKUP(E190,MAPPING!J:J,MAPPING!K:K,"CHECK")</f>
        <v>4 BHK</v>
      </c>
      <c r="P190" s="5" t="str">
        <f>_xlfn.XLOOKUP(J190,MAPPING!M:M,MAPPING!N:N,"CHECK")</f>
        <v>Long Term Rental</v>
      </c>
      <c r="Q190" s="5">
        <f t="shared" si="15"/>
        <v>16000</v>
      </c>
      <c r="R190" s="5">
        <f t="shared" si="16"/>
        <v>1084</v>
      </c>
      <c r="S190" s="5" t="str">
        <f t="shared" si="17"/>
        <v/>
      </c>
      <c r="T190" s="5"/>
      <c r="U190" s="5"/>
      <c r="V190" s="5"/>
      <c r="W190" s="5">
        <f t="shared" si="18"/>
        <v>0</v>
      </c>
      <c r="X190" s="5" t="str" cm="1">
        <f t="array" ref="X190">IF(W190=0,"",MEDIANIFS($S$2:$S$209,$M$2:$M$209,U190,$N$2:$N$209,V190,$P$2:$P$209,"Resale"))</f>
        <v/>
      </c>
      <c r="Y190" s="5">
        <f t="shared" si="19"/>
        <v>14.760147601476016</v>
      </c>
      <c r="Z190" s="5">
        <f t="shared" si="20"/>
        <v>0</v>
      </c>
      <c r="AA190" s="5" t="str" cm="1">
        <f t="array" ref="AA190">IF(Z190=0,"",MEDIAN(_xlfn._xlws.FILTER($Y$2:$Y$209,($M$2:$M$209=U190)*($N$2:$N$209=V190)*($P$2:$P$209="Long Term Rental")*($Y$2:$Y$209&lt;&gt;""),"")))</f>
        <v/>
      </c>
      <c r="AB190" s="5" t="str">
        <f t="shared" si="21"/>
        <v/>
      </c>
      <c r="AC190" s="5" t="str" cm="1">
        <f t="array" ref="AC190">IFERROR(MEDIAN(_xlfn._xlws.FILTER($Q$2:$Q$209,($M$2:$M$209=U190)*($P$2:$P$209="Short Term Rental")*($Q$2:$Q$209&lt;&gt;""))),"")</f>
        <v/>
      </c>
    </row>
    <row r="191" spans="1:29" ht="15" thickBot="1" x14ac:dyDescent="0.4">
      <c r="A191" s="1" t="s">
        <v>261</v>
      </c>
      <c r="B191" s="1" t="s">
        <v>262</v>
      </c>
      <c r="C191" s="1" t="s">
        <v>28</v>
      </c>
      <c r="D191" s="1" t="s">
        <v>34</v>
      </c>
      <c r="E191" s="1" t="s">
        <v>71</v>
      </c>
      <c r="F191" s="3">
        <v>1943</v>
      </c>
      <c r="G191" s="1" t="s">
        <v>30</v>
      </c>
      <c r="H191" s="3">
        <v>31800</v>
      </c>
      <c r="I191" s="1" t="s">
        <v>17</v>
      </c>
      <c r="J191" s="1" t="s">
        <v>57</v>
      </c>
      <c r="K191" s="1" t="s">
        <v>19</v>
      </c>
      <c r="L191" s="1"/>
      <c r="M191" s="5" t="str">
        <f>_xlfn.XLOOKUP(TRIM(C191),MAPPING!A:A,MAPPING!B:B,"CHECK")</f>
        <v>Matheran Road</v>
      </c>
      <c r="N191" s="5" t="str">
        <f>_xlfn.XLOOKUP(D191,MAPPING!G:G,MAPPING!H:H,"CHECK")</f>
        <v>Villa</v>
      </c>
      <c r="O191" s="5" t="str">
        <f>_xlfn.XLOOKUP(E191,MAPPING!J:J,MAPPING!K:K,"CHECK")</f>
        <v>2 BHK</v>
      </c>
      <c r="P191" s="5" t="str">
        <f>_xlfn.XLOOKUP(J191,MAPPING!M:M,MAPPING!N:N,"CHECK")</f>
        <v>Long Term Rental</v>
      </c>
      <c r="Q191" s="5">
        <f t="shared" si="15"/>
        <v>31800</v>
      </c>
      <c r="R191" s="5">
        <f t="shared" si="16"/>
        <v>1943</v>
      </c>
      <c r="S191" s="5" t="str">
        <f t="shared" si="17"/>
        <v/>
      </c>
      <c r="T191" s="5"/>
      <c r="U191" s="5"/>
      <c r="V191" s="5"/>
      <c r="W191" s="5">
        <f t="shared" si="18"/>
        <v>0</v>
      </c>
      <c r="X191" s="5" t="str" cm="1">
        <f t="array" ref="X191">IF(W191=0,"",MEDIANIFS($S$2:$S$209,$M$2:$M$209,U191,$N$2:$N$209,V191,$P$2:$P$209,"Resale"))</f>
        <v/>
      </c>
      <c r="Y191" s="5">
        <f t="shared" si="19"/>
        <v>16.366443643849717</v>
      </c>
      <c r="Z191" s="5">
        <f t="shared" si="20"/>
        <v>0</v>
      </c>
      <c r="AA191" s="5" t="str" cm="1">
        <f t="array" ref="AA191">IF(Z191=0,"",MEDIAN(_xlfn._xlws.FILTER($Y$2:$Y$209,($M$2:$M$209=U191)*($N$2:$N$209=V191)*($P$2:$P$209="Long Term Rental")*($Y$2:$Y$209&lt;&gt;""),"")))</f>
        <v/>
      </c>
      <c r="AB191" s="5" t="str">
        <f t="shared" si="21"/>
        <v/>
      </c>
      <c r="AC191" s="5" t="str" cm="1">
        <f t="array" ref="AC191">IFERROR(MEDIAN(_xlfn._xlws.FILTER($Q$2:$Q$209,($M$2:$M$209=U191)*($P$2:$P$209="Short Term Rental")*($Q$2:$Q$209&lt;&gt;""))),"")</f>
        <v/>
      </c>
    </row>
    <row r="192" spans="1:29" ht="15" thickBot="1" x14ac:dyDescent="0.4">
      <c r="A192" s="1" t="s">
        <v>285</v>
      </c>
      <c r="B192" s="4" t="s">
        <v>286</v>
      </c>
      <c r="C192" s="1" t="s">
        <v>225</v>
      </c>
      <c r="D192" s="2" t="s">
        <v>67</v>
      </c>
      <c r="E192" s="1" t="s">
        <v>71</v>
      </c>
      <c r="F192" s="3">
        <v>1437</v>
      </c>
      <c r="G192" s="1" t="s">
        <v>30</v>
      </c>
      <c r="H192" s="3">
        <v>24000</v>
      </c>
      <c r="I192" s="1" t="s">
        <v>17</v>
      </c>
      <c r="J192" s="1" t="s">
        <v>57</v>
      </c>
      <c r="K192" s="1" t="s">
        <v>19</v>
      </c>
      <c r="L192" s="1"/>
      <c r="M192" s="5" t="str">
        <f>_xlfn.XLOOKUP(TRIM(C192),MAPPING!A:A,MAPPING!B:B,"CHECK")</f>
        <v>Matheran Road</v>
      </c>
      <c r="N192" s="5" t="str">
        <f>_xlfn.XLOOKUP(D192,MAPPING!G:G,MAPPING!H:H,"CHECK")</f>
        <v>Villa</v>
      </c>
      <c r="O192" s="5" t="str">
        <f>_xlfn.XLOOKUP(E192,MAPPING!J:J,MAPPING!K:K,"CHECK")</f>
        <v>2 BHK</v>
      </c>
      <c r="P192" s="5" t="str">
        <f>_xlfn.XLOOKUP(J192,MAPPING!M:M,MAPPING!N:N,"CHECK")</f>
        <v>Long Term Rental</v>
      </c>
      <c r="Q192" s="5">
        <f t="shared" si="15"/>
        <v>24000</v>
      </c>
      <c r="R192" s="5">
        <f t="shared" si="16"/>
        <v>1437</v>
      </c>
      <c r="S192" s="5" t="str">
        <f t="shared" si="17"/>
        <v/>
      </c>
      <c r="T192" s="5"/>
      <c r="U192" s="5"/>
      <c r="V192" s="5"/>
      <c r="W192" s="5">
        <f t="shared" si="18"/>
        <v>0</v>
      </c>
      <c r="X192" s="5" t="str" cm="1">
        <f t="array" ref="X192">IF(W192=0,"",MEDIANIFS($S$2:$S$209,$M$2:$M$209,U192,$N$2:$N$209,V192,$P$2:$P$209,"Resale"))</f>
        <v/>
      </c>
      <c r="Y192" s="5">
        <f t="shared" si="19"/>
        <v>16.701461377870565</v>
      </c>
      <c r="Z192" s="5">
        <f t="shared" si="20"/>
        <v>0</v>
      </c>
      <c r="AA192" s="5" t="str" cm="1">
        <f t="array" ref="AA192">IF(Z192=0,"",MEDIAN(_xlfn._xlws.FILTER($Y$2:$Y$209,($M$2:$M$209=U192)*($N$2:$N$209=V192)*($P$2:$P$209="Long Term Rental")*($Y$2:$Y$209&lt;&gt;""),"")))</f>
        <v/>
      </c>
      <c r="AB192" s="5" t="str">
        <f t="shared" si="21"/>
        <v/>
      </c>
      <c r="AC192" s="5" t="str" cm="1">
        <f t="array" ref="AC192">IFERROR(MEDIAN(_xlfn._xlws.FILTER($Q$2:$Q$209,($M$2:$M$209=U192)*($P$2:$P$209="Short Term Rental")*($Q$2:$Q$209&lt;&gt;""))),"")</f>
        <v/>
      </c>
    </row>
    <row r="193" spans="1:29" ht="15" thickBot="1" x14ac:dyDescent="0.4">
      <c r="A193" s="1" t="s">
        <v>408</v>
      </c>
      <c r="B193" s="1" t="s">
        <v>409</v>
      </c>
      <c r="C193" s="1" t="s">
        <v>225</v>
      </c>
      <c r="D193" s="1" t="s">
        <v>47</v>
      </c>
      <c r="E193" s="1" t="s">
        <v>16</v>
      </c>
      <c r="F193" s="3">
        <v>2016</v>
      </c>
      <c r="G193" s="1" t="s">
        <v>30</v>
      </c>
      <c r="H193" s="3">
        <v>31700</v>
      </c>
      <c r="I193" s="1" t="s">
        <v>17</v>
      </c>
      <c r="J193" s="1" t="s">
        <v>57</v>
      </c>
      <c r="K193" s="1" t="s">
        <v>19</v>
      </c>
      <c r="L193" s="1"/>
      <c r="M193" s="5" t="str">
        <f>_xlfn.XLOOKUP(TRIM(C193),MAPPING!A:A,MAPPING!B:B,"CHECK")</f>
        <v>Matheran Road</v>
      </c>
      <c r="N193" s="5" t="str">
        <f>_xlfn.XLOOKUP(D193,MAPPING!G:G,MAPPING!H:H,"CHECK")</f>
        <v>Villa</v>
      </c>
      <c r="O193" s="5" t="str">
        <f>_xlfn.XLOOKUP(E193,MAPPING!J:J,MAPPING!K:K,"CHECK")</f>
        <v>3 BHK</v>
      </c>
      <c r="P193" s="5" t="str">
        <f>_xlfn.XLOOKUP(J193,MAPPING!M:M,MAPPING!N:N,"CHECK")</f>
        <v>Long Term Rental</v>
      </c>
      <c r="Q193" s="5">
        <f t="shared" si="15"/>
        <v>31700</v>
      </c>
      <c r="R193" s="5">
        <f t="shared" si="16"/>
        <v>2016</v>
      </c>
      <c r="S193" s="5" t="str">
        <f t="shared" si="17"/>
        <v/>
      </c>
      <c r="T193" s="5"/>
      <c r="U193" s="5"/>
      <c r="V193" s="5"/>
      <c r="W193" s="5">
        <f t="shared" si="18"/>
        <v>0</v>
      </c>
      <c r="X193" s="5" t="str" cm="1">
        <f t="array" ref="X193">IF(W193=0,"",MEDIANIFS($S$2:$S$209,$M$2:$M$209,U193,$N$2:$N$209,V193,$P$2:$P$209,"Resale"))</f>
        <v/>
      </c>
      <c r="Y193" s="5">
        <f t="shared" si="19"/>
        <v>15.72420634920635</v>
      </c>
      <c r="Z193" s="5">
        <f t="shared" si="20"/>
        <v>0</v>
      </c>
      <c r="AA193" s="5" t="str" cm="1">
        <f t="array" ref="AA193">IF(Z193=0,"",MEDIAN(_xlfn._xlws.FILTER($Y$2:$Y$209,($M$2:$M$209=U193)*($N$2:$N$209=V193)*($P$2:$P$209="Long Term Rental")*($Y$2:$Y$209&lt;&gt;""),"")))</f>
        <v/>
      </c>
      <c r="AB193" s="5" t="str">
        <f t="shared" si="21"/>
        <v/>
      </c>
      <c r="AC193" s="5" t="str" cm="1">
        <f t="array" ref="AC193">IFERROR(MEDIAN(_xlfn._xlws.FILTER($Q$2:$Q$209,($M$2:$M$209=U193)*($P$2:$P$209="Short Term Rental")*($Q$2:$Q$209&lt;&gt;""))),"")</f>
        <v/>
      </c>
    </row>
    <row r="194" spans="1:29" ht="15" thickBot="1" x14ac:dyDescent="0.4">
      <c r="A194" s="1" t="s">
        <v>301</v>
      </c>
      <c r="B194" s="2" t="s">
        <v>302</v>
      </c>
      <c r="C194" s="2" t="s">
        <v>74</v>
      </c>
      <c r="D194" s="1" t="s">
        <v>34</v>
      </c>
      <c r="E194" s="1" t="s">
        <v>71</v>
      </c>
      <c r="F194" s="3">
        <v>2143</v>
      </c>
      <c r="G194" s="1" t="s">
        <v>30</v>
      </c>
      <c r="H194" s="3">
        <v>34000</v>
      </c>
      <c r="I194" s="1" t="s">
        <v>17</v>
      </c>
      <c r="J194" s="1" t="s">
        <v>57</v>
      </c>
      <c r="K194" s="1" t="s">
        <v>19</v>
      </c>
      <c r="L194" s="1"/>
      <c r="M194" s="5" t="str">
        <f>_xlfn.XLOOKUP(TRIM(C194),MAPPING!A:A,MAPPING!B:B,"CHECK")</f>
        <v>Matheran Road</v>
      </c>
      <c r="N194" s="5" t="str">
        <f>_xlfn.XLOOKUP(D194,MAPPING!G:G,MAPPING!H:H,"CHECK")</f>
        <v>Villa</v>
      </c>
      <c r="O194" s="5" t="str">
        <f>_xlfn.XLOOKUP(E194,MAPPING!J:J,MAPPING!K:K,"CHECK")</f>
        <v>2 BHK</v>
      </c>
      <c r="P194" s="5" t="str">
        <f>_xlfn.XLOOKUP(J194,MAPPING!M:M,MAPPING!N:N,"CHECK")</f>
        <v>Long Term Rental</v>
      </c>
      <c r="Q194" s="5">
        <f t="shared" ref="Q194:Q209" si="22">IF(I194="INR",H194,IF(I194="Lakh",H194*100000,IF(I194="Crore",H194*10000000,IF(I194="Thousand",H194*1000,""))))</f>
        <v>34000</v>
      </c>
      <c r="R194" s="5">
        <f t="shared" ref="R194:R209" si="23">IF(G194="sqft",F194,IF(G194="sqyd",F194*9,IF(G194="acre",F194*43560,IF(G194="guntha",F194*1089,IF(G194="hectare",F194*107639.1,"")))))</f>
        <v>2143</v>
      </c>
      <c r="S194" s="5" t="str">
        <f t="shared" ref="S194:S209" si="24">IF(AND(P194="Resale",R194&gt;0),Q194/R194,"")</f>
        <v/>
      </c>
      <c r="T194" s="5"/>
      <c r="U194" s="5"/>
      <c r="V194" s="5"/>
      <c r="W194" s="5">
        <f t="shared" ref="W194:W209" si="25">COUNTIFS($M$2:$M$209,U194,$N$2:$N$209,V194,$P$2:$P$209,"Resale")</f>
        <v>0</v>
      </c>
      <c r="X194" s="5" t="str" cm="1">
        <f t="array" ref="X194">IF(W194=0,"",MEDIANIFS($S$2:$S$209,$M$2:$M$209,U194,$N$2:$N$209,V194,$P$2:$P$209,"Resale"))</f>
        <v/>
      </c>
      <c r="Y194" s="5">
        <f t="shared" ref="Y194:Y209" si="26">IF(AND(P194="Long Term Rental",R194&gt;0),Q194/R194,"")</f>
        <v>15.865608959402707</v>
      </c>
      <c r="Z194" s="5">
        <f t="shared" ref="Z194:Z209" si="27">COUNTIFS($M$2:$M$209,U194,$P$2:$P$209,"Long Term Rental")</f>
        <v>0</v>
      </c>
      <c r="AA194" s="5" t="str" cm="1">
        <f t="array" ref="AA194">IF(Z194=0,"",MEDIAN(_xlfn._xlws.FILTER($Y$2:$Y$209,($M$2:$M$209=U194)*($N$2:$N$209=V194)*($P$2:$P$209="Long Term Rental")*($Y$2:$Y$209&lt;&gt;""),"")))</f>
        <v/>
      </c>
      <c r="AB194" s="5" t="str">
        <f t="shared" ref="AB194:AB209" si="28">IF(AND(V194="Villa",X194&lt;&gt;"",AA194&lt;&gt;""),(AA194*12/X194)*100,"")</f>
        <v/>
      </c>
      <c r="AC194" s="5" t="str" cm="1">
        <f t="array" ref="AC194">IFERROR(MEDIAN(_xlfn._xlws.FILTER($Q$2:$Q$209,($M$2:$M$209=U194)*($P$2:$P$209="Short Term Rental")*($Q$2:$Q$209&lt;&gt;""))),"")</f>
        <v/>
      </c>
    </row>
    <row r="195" spans="1:29" ht="15" thickBot="1" x14ac:dyDescent="0.4">
      <c r="A195" s="1" t="s">
        <v>72</v>
      </c>
      <c r="B195" s="2" t="s">
        <v>73</v>
      </c>
      <c r="C195" s="2" t="s">
        <v>74</v>
      </c>
      <c r="D195" s="2" t="s">
        <v>67</v>
      </c>
      <c r="E195" s="1" t="s">
        <v>16</v>
      </c>
      <c r="F195" s="3">
        <v>1748</v>
      </c>
      <c r="G195" s="1" t="s">
        <v>30</v>
      </c>
      <c r="H195" s="3">
        <v>30000</v>
      </c>
      <c r="I195" s="1" t="s">
        <v>17</v>
      </c>
      <c r="J195" s="1" t="s">
        <v>57</v>
      </c>
      <c r="K195" s="1" t="s">
        <v>19</v>
      </c>
      <c r="L195" s="1"/>
      <c r="M195" s="5" t="str">
        <f>_xlfn.XLOOKUP(TRIM(C195),MAPPING!A:A,MAPPING!B:B,"CHECK")</f>
        <v>Matheran Road</v>
      </c>
      <c r="N195" s="5" t="str">
        <f>_xlfn.XLOOKUP(D195,MAPPING!G:G,MAPPING!H:H,"CHECK")</f>
        <v>Villa</v>
      </c>
      <c r="O195" s="5" t="str">
        <f>_xlfn.XLOOKUP(E195,MAPPING!J:J,MAPPING!K:K,"CHECK")</f>
        <v>3 BHK</v>
      </c>
      <c r="P195" s="5" t="str">
        <f>_xlfn.XLOOKUP(J195,MAPPING!M:M,MAPPING!N:N,"CHECK")</f>
        <v>Long Term Rental</v>
      </c>
      <c r="Q195" s="5">
        <f t="shared" si="22"/>
        <v>30000</v>
      </c>
      <c r="R195" s="5">
        <f t="shared" si="23"/>
        <v>1748</v>
      </c>
      <c r="S195" s="5" t="str">
        <f t="shared" si="24"/>
        <v/>
      </c>
      <c r="T195" s="5"/>
      <c r="U195" s="5"/>
      <c r="V195" s="5"/>
      <c r="W195" s="5">
        <f t="shared" si="25"/>
        <v>0</v>
      </c>
      <c r="X195" s="5" t="str" cm="1">
        <f t="array" ref="X195">IF(W195=0,"",MEDIANIFS($S$2:$S$209,$M$2:$M$209,U195,$N$2:$N$209,V195,$P$2:$P$209,"Resale"))</f>
        <v/>
      </c>
      <c r="Y195" s="5">
        <f t="shared" si="26"/>
        <v>17.162471395881006</v>
      </c>
      <c r="Z195" s="5">
        <f t="shared" si="27"/>
        <v>0</v>
      </c>
      <c r="AA195" s="5" t="str" cm="1">
        <f t="array" ref="AA195">IF(Z195=0,"",MEDIAN(_xlfn._xlws.FILTER($Y$2:$Y$209,($M$2:$M$209=U195)*($N$2:$N$209=V195)*($P$2:$P$209="Long Term Rental")*($Y$2:$Y$209&lt;&gt;""),"")))</f>
        <v/>
      </c>
      <c r="AB195" s="5" t="str">
        <f t="shared" si="28"/>
        <v/>
      </c>
      <c r="AC195" s="5" t="str" cm="1">
        <f t="array" ref="AC195">IFERROR(MEDIAN(_xlfn._xlws.FILTER($Q$2:$Q$209,($M$2:$M$209=U195)*($P$2:$P$209="Short Term Rental")*($Q$2:$Q$209&lt;&gt;""))),"")</f>
        <v/>
      </c>
    </row>
    <row r="196" spans="1:29" ht="15" thickBot="1" x14ac:dyDescent="0.4">
      <c r="A196" s="1" t="s">
        <v>26</v>
      </c>
      <c r="B196" s="1" t="s">
        <v>27</v>
      </c>
      <c r="C196" s="1" t="s">
        <v>28</v>
      </c>
      <c r="D196" s="1" t="s">
        <v>24</v>
      </c>
      <c r="E196" s="1" t="s">
        <v>29</v>
      </c>
      <c r="F196" s="3">
        <v>2472</v>
      </c>
      <c r="G196" s="1" t="s">
        <v>30</v>
      </c>
      <c r="H196" s="3">
        <v>40000</v>
      </c>
      <c r="I196" s="1" t="s">
        <v>17</v>
      </c>
      <c r="J196" s="1" t="s">
        <v>18</v>
      </c>
      <c r="K196" s="1" t="s">
        <v>19</v>
      </c>
      <c r="L196" s="1"/>
      <c r="M196" s="5" t="str">
        <f>_xlfn.XLOOKUP(TRIM(C196),MAPPING!A:A,MAPPING!B:B,"CHECK")</f>
        <v>Matheran Road</v>
      </c>
      <c r="N196" s="5" t="str">
        <f>_xlfn.XLOOKUP(D196,MAPPING!G:G,MAPPING!H:H,"CHECK")</f>
        <v>Villa</v>
      </c>
      <c r="O196" s="5" t="str">
        <f>_xlfn.XLOOKUP(E196,MAPPING!J:J,MAPPING!K:K,"CHECK")</f>
        <v>4 BHK</v>
      </c>
      <c r="P196" s="5" t="str">
        <f>_xlfn.XLOOKUP(J196,MAPPING!M:M,MAPPING!N:N,"CHECK")</f>
        <v>Short Term Rental</v>
      </c>
      <c r="Q196" s="5">
        <f t="shared" si="22"/>
        <v>40000</v>
      </c>
      <c r="R196" s="5">
        <f t="shared" si="23"/>
        <v>2472</v>
      </c>
      <c r="S196" s="5" t="str">
        <f t="shared" si="24"/>
        <v/>
      </c>
      <c r="T196" s="5"/>
      <c r="U196" s="5"/>
      <c r="V196" s="5"/>
      <c r="W196" s="5">
        <f t="shared" si="25"/>
        <v>0</v>
      </c>
      <c r="X196" s="5" t="str" cm="1">
        <f t="array" ref="X196">IF(W196=0,"",MEDIANIFS($S$2:$S$209,$M$2:$M$209,U196,$N$2:$N$209,V196,$P$2:$P$209,"Resale"))</f>
        <v/>
      </c>
      <c r="Y196" s="5" t="str">
        <f t="shared" si="26"/>
        <v/>
      </c>
      <c r="Z196" s="5">
        <f t="shared" si="27"/>
        <v>0</v>
      </c>
      <c r="AA196" s="5" t="str" cm="1">
        <f t="array" ref="AA196">IF(Z196=0,"",MEDIAN(_xlfn._xlws.FILTER($Y$2:$Y$209,($M$2:$M$209=U196)*($N$2:$N$209=V196)*($P$2:$P$209="Long Term Rental")*($Y$2:$Y$209&lt;&gt;""),"")))</f>
        <v/>
      </c>
      <c r="AB196" s="5" t="str">
        <f t="shared" si="28"/>
        <v/>
      </c>
      <c r="AC196" s="5" t="str" cm="1">
        <f t="array" ref="AC196">IFERROR(MEDIAN(_xlfn._xlws.FILTER($Q$2:$Q$209,($M$2:$M$209=U196)*($P$2:$P$209="Short Term Rental")*($Q$2:$Q$209&lt;&gt;""))),"")</f>
        <v/>
      </c>
    </row>
    <row r="197" spans="1:29" ht="15" thickBot="1" x14ac:dyDescent="0.4">
      <c r="A197" s="1" t="s">
        <v>331</v>
      </c>
      <c r="B197" s="1" t="s">
        <v>332</v>
      </c>
      <c r="C197" s="1" t="s">
        <v>28</v>
      </c>
      <c r="D197" s="1" t="s">
        <v>24</v>
      </c>
      <c r="E197" s="1" t="s">
        <v>35</v>
      </c>
      <c r="F197" s="3">
        <v>1243</v>
      </c>
      <c r="G197" s="1" t="s">
        <v>30</v>
      </c>
      <c r="H197" s="3">
        <v>19900</v>
      </c>
      <c r="I197" s="1" t="s">
        <v>17</v>
      </c>
      <c r="J197" s="1" t="s">
        <v>57</v>
      </c>
      <c r="K197" s="1" t="s">
        <v>19</v>
      </c>
      <c r="L197" s="1"/>
      <c r="M197" s="5" t="str">
        <f>_xlfn.XLOOKUP(TRIM(C197),MAPPING!A:A,MAPPING!B:B,"CHECK")</f>
        <v>Matheran Road</v>
      </c>
      <c r="N197" s="5" t="str">
        <f>_xlfn.XLOOKUP(D197,MAPPING!G:G,MAPPING!H:H,"CHECK")</f>
        <v>Villa</v>
      </c>
      <c r="O197" s="5" t="str">
        <f>_xlfn.XLOOKUP(E197,MAPPING!J:J,MAPPING!K:K,"CHECK")</f>
        <v>3 BHK</v>
      </c>
      <c r="P197" s="5" t="str">
        <f>_xlfn.XLOOKUP(J197,MAPPING!M:M,MAPPING!N:N,"CHECK")</f>
        <v>Long Term Rental</v>
      </c>
      <c r="Q197" s="5">
        <f t="shared" si="22"/>
        <v>19900</v>
      </c>
      <c r="R197" s="5">
        <f t="shared" si="23"/>
        <v>1243</v>
      </c>
      <c r="S197" s="5" t="str">
        <f t="shared" si="24"/>
        <v/>
      </c>
      <c r="T197" s="5"/>
      <c r="U197" s="5"/>
      <c r="V197" s="5"/>
      <c r="W197" s="5">
        <f t="shared" si="25"/>
        <v>0</v>
      </c>
      <c r="X197" s="5" t="str" cm="1">
        <f t="array" ref="X197">IF(W197=0,"",MEDIANIFS($S$2:$S$209,$M$2:$M$209,U197,$N$2:$N$209,V197,$P$2:$P$209,"Resale"))</f>
        <v/>
      </c>
      <c r="Y197" s="5">
        <f t="shared" si="26"/>
        <v>16.009654062751409</v>
      </c>
      <c r="Z197" s="5">
        <f t="shared" si="27"/>
        <v>0</v>
      </c>
      <c r="AA197" s="5" t="str" cm="1">
        <f t="array" ref="AA197">IF(Z197=0,"",MEDIAN(_xlfn._xlws.FILTER($Y$2:$Y$209,($M$2:$M$209=U197)*($N$2:$N$209=V197)*($P$2:$P$209="Long Term Rental")*($Y$2:$Y$209&lt;&gt;""),"")))</f>
        <v/>
      </c>
      <c r="AB197" s="5" t="str">
        <f t="shared" si="28"/>
        <v/>
      </c>
      <c r="AC197" s="5" t="str" cm="1">
        <f t="array" ref="AC197">IFERROR(MEDIAN(_xlfn._xlws.FILTER($Q$2:$Q$209,($M$2:$M$209=U197)*($P$2:$P$209="Short Term Rental")*($Q$2:$Q$209&lt;&gt;""))),"")</f>
        <v/>
      </c>
    </row>
    <row r="198" spans="1:29" ht="15" thickBot="1" x14ac:dyDescent="0.4">
      <c r="A198" s="1" t="s">
        <v>397</v>
      </c>
      <c r="B198" s="2" t="s">
        <v>398</v>
      </c>
      <c r="C198" s="1" t="s">
        <v>46</v>
      </c>
      <c r="D198" s="1" t="s">
        <v>47</v>
      </c>
      <c r="E198" s="1" t="s">
        <v>35</v>
      </c>
      <c r="F198" s="1"/>
      <c r="G198" s="1"/>
      <c r="H198" s="3">
        <v>4600</v>
      </c>
      <c r="I198" s="1" t="s">
        <v>17</v>
      </c>
      <c r="J198" s="1" t="s">
        <v>18</v>
      </c>
      <c r="K198" s="1" t="s">
        <v>19</v>
      </c>
      <c r="L198" s="1" t="s">
        <v>20</v>
      </c>
      <c r="M198" s="5" t="str">
        <f>_xlfn.XLOOKUP(TRIM(C198),MAPPING!A:A,MAPPING!B:B,"CHECK")</f>
        <v>Matheran Road</v>
      </c>
      <c r="N198" s="5" t="str">
        <f>_xlfn.XLOOKUP(D198,MAPPING!G:G,MAPPING!H:H,"CHECK")</f>
        <v>Villa</v>
      </c>
      <c r="O198" s="5" t="str">
        <f>_xlfn.XLOOKUP(E198,MAPPING!J:J,MAPPING!K:K,"CHECK")</f>
        <v>3 BHK</v>
      </c>
      <c r="P198" s="5" t="str">
        <f>_xlfn.XLOOKUP(J198,MAPPING!M:M,MAPPING!N:N,"CHECK")</f>
        <v>Short Term Rental</v>
      </c>
      <c r="Q198" s="5">
        <f t="shared" si="22"/>
        <v>4600</v>
      </c>
      <c r="R198" s="5" t="str">
        <f t="shared" si="23"/>
        <v/>
      </c>
      <c r="S198" s="5" t="str">
        <f t="shared" si="24"/>
        <v/>
      </c>
      <c r="T198" s="5"/>
      <c r="U198" s="5"/>
      <c r="V198" s="5"/>
      <c r="W198" s="5">
        <f t="shared" si="25"/>
        <v>0</v>
      </c>
      <c r="X198" s="5" t="str" cm="1">
        <f t="array" ref="X198">IF(W198=0,"",MEDIANIFS($S$2:$S$209,$M$2:$M$209,U198,$N$2:$N$209,V198,$P$2:$P$209,"Resale"))</f>
        <v/>
      </c>
      <c r="Y198" s="5" t="str">
        <f t="shared" si="26"/>
        <v/>
      </c>
      <c r="Z198" s="5">
        <f t="shared" si="27"/>
        <v>0</v>
      </c>
      <c r="AA198" s="5" t="str" cm="1">
        <f t="array" ref="AA198">IF(Z198=0,"",MEDIAN(_xlfn._xlws.FILTER($Y$2:$Y$209,($M$2:$M$209=U198)*($N$2:$N$209=V198)*($P$2:$P$209="Long Term Rental")*($Y$2:$Y$209&lt;&gt;""),"")))</f>
        <v/>
      </c>
      <c r="AB198" s="5" t="str">
        <f t="shared" si="28"/>
        <v/>
      </c>
      <c r="AC198" s="5" t="str" cm="1">
        <f t="array" ref="AC198">IFERROR(MEDIAN(_xlfn._xlws.FILTER($Q$2:$Q$209,($M$2:$M$209=U198)*($P$2:$P$209="Short Term Rental")*($Q$2:$Q$209&lt;&gt;""))),"")</f>
        <v/>
      </c>
    </row>
    <row r="199" spans="1:29" ht="15" thickBot="1" x14ac:dyDescent="0.4">
      <c r="A199" s="1" t="s">
        <v>92</v>
      </c>
      <c r="B199" s="2" t="s">
        <v>93</v>
      </c>
      <c r="C199" s="1" t="s">
        <v>46</v>
      </c>
      <c r="D199" s="1" t="s">
        <v>24</v>
      </c>
      <c r="E199" s="1" t="s">
        <v>25</v>
      </c>
      <c r="F199" s="1"/>
      <c r="G199" s="1"/>
      <c r="H199" s="3">
        <v>5600</v>
      </c>
      <c r="I199" s="1" t="s">
        <v>17</v>
      </c>
      <c r="J199" s="1" t="s">
        <v>18</v>
      </c>
      <c r="K199" s="1" t="s">
        <v>19</v>
      </c>
      <c r="L199" s="1" t="s">
        <v>20</v>
      </c>
      <c r="M199" s="5" t="str">
        <f>_xlfn.XLOOKUP(TRIM(C199),MAPPING!A:A,MAPPING!B:B,"CHECK")</f>
        <v>Matheran Road</v>
      </c>
      <c r="N199" s="5" t="str">
        <f>_xlfn.XLOOKUP(D199,MAPPING!G:G,MAPPING!H:H,"CHECK")</f>
        <v>Villa</v>
      </c>
      <c r="O199" s="5" t="str">
        <f>_xlfn.XLOOKUP(E199,MAPPING!J:J,MAPPING!K:K,"CHECK")</f>
        <v>3 BHK</v>
      </c>
      <c r="P199" s="5" t="str">
        <f>_xlfn.XLOOKUP(J199,MAPPING!M:M,MAPPING!N:N,"CHECK")</f>
        <v>Short Term Rental</v>
      </c>
      <c r="Q199" s="5">
        <f t="shared" si="22"/>
        <v>5600</v>
      </c>
      <c r="R199" s="5" t="str">
        <f t="shared" si="23"/>
        <v/>
      </c>
      <c r="S199" s="5" t="str">
        <f t="shared" si="24"/>
        <v/>
      </c>
      <c r="T199" s="5"/>
      <c r="U199" s="5"/>
      <c r="V199" s="5"/>
      <c r="W199" s="5">
        <f t="shared" si="25"/>
        <v>0</v>
      </c>
      <c r="X199" s="5" t="str" cm="1">
        <f t="array" ref="X199">IF(W199=0,"",MEDIANIFS($S$2:$S$209,$M$2:$M$209,U199,$N$2:$N$209,V199,$P$2:$P$209,"Resale"))</f>
        <v/>
      </c>
      <c r="Y199" s="5" t="str">
        <f t="shared" si="26"/>
        <v/>
      </c>
      <c r="Z199" s="5">
        <f t="shared" si="27"/>
        <v>0</v>
      </c>
      <c r="AA199" s="5" t="str" cm="1">
        <f t="array" ref="AA199">IF(Z199=0,"",MEDIAN(_xlfn._xlws.FILTER($Y$2:$Y$209,($M$2:$M$209=U199)*($N$2:$N$209=V199)*($P$2:$P$209="Long Term Rental")*($Y$2:$Y$209&lt;&gt;""),"")))</f>
        <v/>
      </c>
      <c r="AB199" s="5" t="str">
        <f t="shared" si="28"/>
        <v/>
      </c>
      <c r="AC199" s="5" t="str" cm="1">
        <f t="array" ref="AC199">IFERROR(MEDIAN(_xlfn._xlws.FILTER($Q$2:$Q$209,($M$2:$M$209=U199)*($P$2:$P$209="Short Term Rental")*($Q$2:$Q$209&lt;&gt;""))),"")</f>
        <v/>
      </c>
    </row>
    <row r="200" spans="1:29" ht="15" thickBot="1" x14ac:dyDescent="0.4">
      <c r="A200" s="1" t="s">
        <v>106</v>
      </c>
      <c r="B200" s="2" t="s">
        <v>107</v>
      </c>
      <c r="C200" s="1" t="s">
        <v>46</v>
      </c>
      <c r="D200" s="1" t="s">
        <v>24</v>
      </c>
      <c r="E200" s="1" t="s">
        <v>16</v>
      </c>
      <c r="F200" s="1"/>
      <c r="G200" s="1"/>
      <c r="H200" s="3">
        <v>5800</v>
      </c>
      <c r="I200" s="1" t="s">
        <v>17</v>
      </c>
      <c r="J200" s="1" t="s">
        <v>18</v>
      </c>
      <c r="K200" s="1" t="s">
        <v>19</v>
      </c>
      <c r="L200" s="1" t="s">
        <v>20</v>
      </c>
      <c r="M200" s="5" t="str">
        <f>_xlfn.XLOOKUP(TRIM(C200),MAPPING!A:A,MAPPING!B:B,"CHECK")</f>
        <v>Matheran Road</v>
      </c>
      <c r="N200" s="5" t="str">
        <f>_xlfn.XLOOKUP(D200,MAPPING!G:G,MAPPING!H:H,"CHECK")</f>
        <v>Villa</v>
      </c>
      <c r="O200" s="5" t="str">
        <f>_xlfn.XLOOKUP(E200,MAPPING!J:J,MAPPING!K:K,"CHECK")</f>
        <v>3 BHK</v>
      </c>
      <c r="P200" s="5" t="str">
        <f>_xlfn.XLOOKUP(J200,MAPPING!M:M,MAPPING!N:N,"CHECK")</f>
        <v>Short Term Rental</v>
      </c>
      <c r="Q200" s="5">
        <f t="shared" si="22"/>
        <v>5800</v>
      </c>
      <c r="R200" s="5" t="str">
        <f t="shared" si="23"/>
        <v/>
      </c>
      <c r="S200" s="5" t="str">
        <f t="shared" si="24"/>
        <v/>
      </c>
      <c r="T200" s="5"/>
      <c r="U200" s="5"/>
      <c r="V200" s="5"/>
      <c r="W200" s="5">
        <f t="shared" si="25"/>
        <v>0</v>
      </c>
      <c r="X200" s="5" t="str" cm="1">
        <f t="array" ref="X200">IF(W200=0,"",MEDIANIFS($S$2:$S$209,$M$2:$M$209,U200,$N$2:$N$209,V200,$P$2:$P$209,"Resale"))</f>
        <v/>
      </c>
      <c r="Y200" s="5" t="str">
        <f t="shared" si="26"/>
        <v/>
      </c>
      <c r="Z200" s="5">
        <f t="shared" si="27"/>
        <v>0</v>
      </c>
      <c r="AA200" s="5" t="str" cm="1">
        <f t="array" ref="AA200">IF(Z200=0,"",MEDIAN(_xlfn._xlws.FILTER($Y$2:$Y$209,($M$2:$M$209=U200)*($N$2:$N$209=V200)*($P$2:$P$209="Long Term Rental")*($Y$2:$Y$209&lt;&gt;""),"")))</f>
        <v/>
      </c>
      <c r="AB200" s="5" t="str">
        <f t="shared" si="28"/>
        <v/>
      </c>
      <c r="AC200" s="5" t="str" cm="1">
        <f t="array" ref="AC200">IFERROR(MEDIAN(_xlfn._xlws.FILTER($Q$2:$Q$209,($M$2:$M$209=U200)*($P$2:$P$209="Short Term Rental")*($Q$2:$Q$209&lt;&gt;""))),"")</f>
        <v/>
      </c>
    </row>
    <row r="201" spans="1:29" ht="15" thickBot="1" x14ac:dyDescent="0.4">
      <c r="A201" s="1" t="s">
        <v>276</v>
      </c>
      <c r="B201" s="2" t="s">
        <v>277</v>
      </c>
      <c r="C201" s="1" t="s">
        <v>225</v>
      </c>
      <c r="D201" s="1" t="s">
        <v>24</v>
      </c>
      <c r="E201" s="1" t="s">
        <v>48</v>
      </c>
      <c r="F201" s="1"/>
      <c r="G201" s="1"/>
      <c r="H201" s="3">
        <v>9500</v>
      </c>
      <c r="I201" s="1" t="s">
        <v>17</v>
      </c>
      <c r="J201" s="1" t="s">
        <v>18</v>
      </c>
      <c r="K201" s="1" t="s">
        <v>19</v>
      </c>
      <c r="L201" s="1" t="s">
        <v>20</v>
      </c>
      <c r="M201" s="5" t="str">
        <f>_xlfn.XLOOKUP(TRIM(C201),MAPPING!A:A,MAPPING!B:B,"CHECK")</f>
        <v>Matheran Road</v>
      </c>
      <c r="N201" s="5" t="str">
        <f>_xlfn.XLOOKUP(D201,MAPPING!G:G,MAPPING!H:H,"CHECK")</f>
        <v>Villa</v>
      </c>
      <c r="O201" s="5" t="str">
        <f>_xlfn.XLOOKUP(E201,MAPPING!J:J,MAPPING!K:K,"CHECK")</f>
        <v>2 BHK</v>
      </c>
      <c r="P201" s="5" t="str">
        <f>_xlfn.XLOOKUP(J201,MAPPING!M:M,MAPPING!N:N,"CHECK")</f>
        <v>Short Term Rental</v>
      </c>
      <c r="Q201" s="5">
        <f t="shared" si="22"/>
        <v>9500</v>
      </c>
      <c r="R201" s="5" t="str">
        <f t="shared" si="23"/>
        <v/>
      </c>
      <c r="S201" s="5" t="str">
        <f t="shared" si="24"/>
        <v/>
      </c>
      <c r="T201" s="5"/>
      <c r="U201" s="5"/>
      <c r="V201" s="5"/>
      <c r="W201" s="5">
        <f t="shared" si="25"/>
        <v>0</v>
      </c>
      <c r="X201" s="5" t="str" cm="1">
        <f t="array" ref="X201">IF(W201=0,"",MEDIANIFS($S$2:$S$209,$M$2:$M$209,U201,$N$2:$N$209,V201,$P$2:$P$209,"Resale"))</f>
        <v/>
      </c>
      <c r="Y201" s="5" t="str">
        <f t="shared" si="26"/>
        <v/>
      </c>
      <c r="Z201" s="5">
        <f t="shared" si="27"/>
        <v>0</v>
      </c>
      <c r="AA201" s="5" t="str" cm="1">
        <f t="array" ref="AA201">IF(Z201=0,"",MEDIAN(_xlfn._xlws.FILTER($Y$2:$Y$209,($M$2:$M$209=U201)*($N$2:$N$209=V201)*($P$2:$P$209="Long Term Rental")*($Y$2:$Y$209&lt;&gt;""),"")))</f>
        <v/>
      </c>
      <c r="AB201" s="5" t="str">
        <f t="shared" si="28"/>
        <v/>
      </c>
      <c r="AC201" s="5" t="str" cm="1">
        <f t="array" ref="AC201">IFERROR(MEDIAN(_xlfn._xlws.FILTER($Q$2:$Q$209,($M$2:$M$209=U201)*($P$2:$P$209="Short Term Rental")*($Q$2:$Q$209&lt;&gt;""))),"")</f>
        <v/>
      </c>
    </row>
    <row r="202" spans="1:29" ht="15" thickBot="1" x14ac:dyDescent="0.4">
      <c r="A202" s="1" t="s">
        <v>44</v>
      </c>
      <c r="B202" s="2" t="s">
        <v>45</v>
      </c>
      <c r="C202" s="1" t="s">
        <v>46</v>
      </c>
      <c r="D202" s="1" t="s">
        <v>47</v>
      </c>
      <c r="E202" s="1" t="s">
        <v>48</v>
      </c>
      <c r="F202" s="1"/>
      <c r="G202" s="1"/>
      <c r="H202" s="3">
        <v>6900</v>
      </c>
      <c r="I202" s="1" t="s">
        <v>17</v>
      </c>
      <c r="J202" s="1" t="s">
        <v>18</v>
      </c>
      <c r="K202" s="1" t="s">
        <v>19</v>
      </c>
      <c r="L202" s="1" t="s">
        <v>20</v>
      </c>
      <c r="M202" s="5" t="str">
        <f>_xlfn.XLOOKUP(TRIM(C202),MAPPING!A:A,MAPPING!B:B,"CHECK")</f>
        <v>Matheran Road</v>
      </c>
      <c r="N202" s="5" t="str">
        <f>_xlfn.XLOOKUP(D202,MAPPING!G:G,MAPPING!H:H,"CHECK")</f>
        <v>Villa</v>
      </c>
      <c r="O202" s="5" t="str">
        <f>_xlfn.XLOOKUP(E202,MAPPING!J:J,MAPPING!K:K,"CHECK")</f>
        <v>2 BHK</v>
      </c>
      <c r="P202" s="5" t="str">
        <f>_xlfn.XLOOKUP(J202,MAPPING!M:M,MAPPING!N:N,"CHECK")</f>
        <v>Short Term Rental</v>
      </c>
      <c r="Q202" s="5">
        <f t="shared" si="22"/>
        <v>6900</v>
      </c>
      <c r="R202" s="5" t="str">
        <f t="shared" si="23"/>
        <v/>
      </c>
      <c r="S202" s="5" t="str">
        <f t="shared" si="24"/>
        <v/>
      </c>
      <c r="T202" s="5"/>
      <c r="U202" s="5"/>
      <c r="V202" s="5"/>
      <c r="W202" s="5">
        <f t="shared" si="25"/>
        <v>0</v>
      </c>
      <c r="X202" s="5" t="str" cm="1">
        <f t="array" ref="X202">IF(W202=0,"",MEDIANIFS($S$2:$S$209,$M$2:$M$209,U202,$N$2:$N$209,V202,$P$2:$P$209,"Resale"))</f>
        <v/>
      </c>
      <c r="Y202" s="5" t="str">
        <f t="shared" si="26"/>
        <v/>
      </c>
      <c r="Z202" s="5">
        <f t="shared" si="27"/>
        <v>0</v>
      </c>
      <c r="AA202" s="5" t="str" cm="1">
        <f t="array" ref="AA202">IF(Z202=0,"",MEDIAN(_xlfn._xlws.FILTER($Y$2:$Y$209,($M$2:$M$209=U202)*($N$2:$N$209=V202)*($P$2:$P$209="Long Term Rental")*($Y$2:$Y$209&lt;&gt;""),"")))</f>
        <v/>
      </c>
      <c r="AB202" s="5" t="str">
        <f t="shared" si="28"/>
        <v/>
      </c>
      <c r="AC202" s="5" t="str" cm="1">
        <f t="array" ref="AC202">IFERROR(MEDIAN(_xlfn._xlws.FILTER($Q$2:$Q$209,($M$2:$M$209=U202)*($P$2:$P$209="Short Term Rental")*($Q$2:$Q$209&lt;&gt;""))),"")</f>
        <v/>
      </c>
    </row>
    <row r="203" spans="1:29" ht="15" thickBot="1" x14ac:dyDescent="0.4">
      <c r="A203" s="1" t="s">
        <v>358</v>
      </c>
      <c r="B203" s="2" t="s">
        <v>359</v>
      </c>
      <c r="C203" s="2" t="s">
        <v>74</v>
      </c>
      <c r="D203" s="1" t="s">
        <v>15</v>
      </c>
      <c r="E203" s="1" t="s">
        <v>25</v>
      </c>
      <c r="F203" s="1"/>
      <c r="G203" s="1"/>
      <c r="H203" s="3">
        <v>4700</v>
      </c>
      <c r="I203" s="1" t="s">
        <v>17</v>
      </c>
      <c r="J203" s="1" t="s">
        <v>18</v>
      </c>
      <c r="K203" s="1" t="s">
        <v>19</v>
      </c>
      <c r="L203" s="1" t="s">
        <v>20</v>
      </c>
      <c r="M203" s="5" t="str">
        <f>_xlfn.XLOOKUP(TRIM(C203),MAPPING!A:A,MAPPING!B:B,"CHECK")</f>
        <v>Matheran Road</v>
      </c>
      <c r="N203" s="5" t="str">
        <f>_xlfn.XLOOKUP(D203,MAPPING!G:G,MAPPING!H:H,"CHECK")</f>
        <v>Villa</v>
      </c>
      <c r="O203" s="5" t="str">
        <f>_xlfn.XLOOKUP(E203,MAPPING!J:J,MAPPING!K:K,"CHECK")</f>
        <v>3 BHK</v>
      </c>
      <c r="P203" s="5" t="str">
        <f>_xlfn.XLOOKUP(J203,MAPPING!M:M,MAPPING!N:N,"CHECK")</f>
        <v>Short Term Rental</v>
      </c>
      <c r="Q203" s="5">
        <f t="shared" si="22"/>
        <v>4700</v>
      </c>
      <c r="R203" s="5" t="str">
        <f t="shared" si="23"/>
        <v/>
      </c>
      <c r="S203" s="5" t="str">
        <f t="shared" si="24"/>
        <v/>
      </c>
      <c r="T203" s="5"/>
      <c r="U203" s="5"/>
      <c r="V203" s="5"/>
      <c r="W203" s="5">
        <f t="shared" si="25"/>
        <v>0</v>
      </c>
      <c r="X203" s="5" t="str" cm="1">
        <f t="array" ref="X203">IF(W203=0,"",MEDIANIFS($S$2:$S$209,$M$2:$M$209,U203,$N$2:$N$209,V203,$P$2:$P$209,"Resale"))</f>
        <v/>
      </c>
      <c r="Y203" s="5" t="str">
        <f t="shared" si="26"/>
        <v/>
      </c>
      <c r="Z203" s="5">
        <f t="shared" si="27"/>
        <v>0</v>
      </c>
      <c r="AA203" s="5" t="str" cm="1">
        <f t="array" ref="AA203">IF(Z203=0,"",MEDIAN(_xlfn._xlws.FILTER($Y$2:$Y$209,($M$2:$M$209=U203)*($N$2:$N$209=V203)*($P$2:$P$209="Long Term Rental")*($Y$2:$Y$209&lt;&gt;""),"")))</f>
        <v/>
      </c>
      <c r="AB203" s="5" t="str">
        <f t="shared" si="28"/>
        <v/>
      </c>
      <c r="AC203" s="5" t="str" cm="1">
        <f t="array" ref="AC203">IFERROR(MEDIAN(_xlfn._xlws.FILTER($Q$2:$Q$209,($M$2:$M$209=U203)*($P$2:$P$209="Short Term Rental")*($Q$2:$Q$209&lt;&gt;""))),"")</f>
        <v/>
      </c>
    </row>
    <row r="204" spans="1:29" ht="15" thickBot="1" x14ac:dyDescent="0.4">
      <c r="A204" s="1" t="s">
        <v>100</v>
      </c>
      <c r="B204" s="1" t="s">
        <v>101</v>
      </c>
      <c r="C204" s="1" t="s">
        <v>23</v>
      </c>
      <c r="D204" s="1" t="s">
        <v>47</v>
      </c>
      <c r="E204" s="1" t="s">
        <v>42</v>
      </c>
      <c r="F204" s="3">
        <v>2.5099999999999998</v>
      </c>
      <c r="G204" s="1" t="s">
        <v>85</v>
      </c>
      <c r="H204" s="3">
        <v>7.75</v>
      </c>
      <c r="I204" s="1" t="s">
        <v>64</v>
      </c>
      <c r="J204" s="1" t="s">
        <v>37</v>
      </c>
      <c r="K204" s="1" t="s">
        <v>19</v>
      </c>
      <c r="L204" s="1"/>
      <c r="M204" s="5" t="str">
        <f>_xlfn.XLOOKUP(TRIM(C204),MAPPING!A:A,MAPPING!B:B,"CHECK")</f>
        <v>Neral</v>
      </c>
      <c r="N204" s="5" t="str">
        <f>_xlfn.XLOOKUP(D204,MAPPING!G:G,MAPPING!H:H,"CHECK")</f>
        <v>Villa</v>
      </c>
      <c r="O204" s="5" t="str">
        <f>_xlfn.XLOOKUP(E204,MAPPING!J:J,MAPPING!K:K,"CHECK")</f>
        <v>NA</v>
      </c>
      <c r="P204" s="5" t="str">
        <f>_xlfn.XLOOKUP(J204,MAPPING!M:M,MAPPING!N:N,"CHECK")</f>
        <v>Resale</v>
      </c>
      <c r="Q204" s="5">
        <f t="shared" si="22"/>
        <v>77500000</v>
      </c>
      <c r="R204" s="5">
        <f t="shared" si="23"/>
        <v>109335.59999999999</v>
      </c>
      <c r="S204" s="5">
        <f t="shared" si="24"/>
        <v>708.82676822553685</v>
      </c>
      <c r="T204" s="5"/>
      <c r="U204" s="5"/>
      <c r="V204" s="5"/>
      <c r="W204" s="5">
        <f t="shared" si="25"/>
        <v>0</v>
      </c>
      <c r="X204" s="5" t="str" cm="1">
        <f t="array" ref="X204">IF(W204=0,"",MEDIANIFS($S$2:$S$209,$M$2:$M$209,U204,$N$2:$N$209,V204,$P$2:$P$209,"Resale"))</f>
        <v/>
      </c>
      <c r="Y204" s="5" t="str">
        <f t="shared" si="26"/>
        <v/>
      </c>
      <c r="Z204" s="5">
        <f t="shared" si="27"/>
        <v>0</v>
      </c>
      <c r="AA204" s="5" t="str" cm="1">
        <f t="array" ref="AA204">IF(Z204=0,"",MEDIAN(_xlfn._xlws.FILTER($Y$2:$Y$209,($M$2:$M$209=U204)*($N$2:$N$209=V204)*($P$2:$P$209="Long Term Rental")*($Y$2:$Y$209&lt;&gt;""),"")))</f>
        <v/>
      </c>
      <c r="AB204" s="5" t="str">
        <f t="shared" si="28"/>
        <v/>
      </c>
      <c r="AC204" s="5" t="str" cm="1">
        <f t="array" ref="AC204">IFERROR(MEDIAN(_xlfn._xlws.FILTER($Q$2:$Q$209,($M$2:$M$209=U204)*($P$2:$P$209="Short Term Rental")*($Q$2:$Q$209&lt;&gt;""))),"")</f>
        <v/>
      </c>
    </row>
    <row r="205" spans="1:29" ht="15" thickBot="1" x14ac:dyDescent="0.4">
      <c r="A205" s="1" t="s">
        <v>423</v>
      </c>
      <c r="B205" s="1" t="s">
        <v>149</v>
      </c>
      <c r="C205" s="1" t="s">
        <v>152</v>
      </c>
      <c r="D205" s="1" t="s">
        <v>47</v>
      </c>
      <c r="E205" s="1" t="s">
        <v>29</v>
      </c>
      <c r="F205" s="3">
        <v>892.17</v>
      </c>
      <c r="G205" s="1" t="s">
        <v>30</v>
      </c>
      <c r="H205" s="3">
        <v>35.520000000000003</v>
      </c>
      <c r="I205" s="1" t="s">
        <v>36</v>
      </c>
      <c r="J205" s="1" t="s">
        <v>37</v>
      </c>
      <c r="K205" s="1" t="s">
        <v>19</v>
      </c>
      <c r="L205" s="1"/>
      <c r="M205" s="5" t="str">
        <f>_xlfn.XLOOKUP(TRIM(C205),MAPPING!A:A,MAPPING!B:B,"CHECK")</f>
        <v>Kashele</v>
      </c>
      <c r="N205" s="5" t="str">
        <f>_xlfn.XLOOKUP(D205,MAPPING!G:G,MAPPING!H:H,"CHECK")</f>
        <v>Villa</v>
      </c>
      <c r="O205" s="5" t="str">
        <f>_xlfn.XLOOKUP(E205,MAPPING!J:J,MAPPING!K:K,"CHECK")</f>
        <v>4 BHK</v>
      </c>
      <c r="P205" s="5" t="str">
        <f>_xlfn.XLOOKUP(J205,MAPPING!M:M,MAPPING!N:N,"CHECK")</f>
        <v>Resale</v>
      </c>
      <c r="Q205" s="5">
        <f t="shared" si="22"/>
        <v>3552000.0000000005</v>
      </c>
      <c r="R205" s="5">
        <f t="shared" si="23"/>
        <v>892.17</v>
      </c>
      <c r="S205" s="5">
        <f t="shared" si="24"/>
        <v>3981.304011567303</v>
      </c>
      <c r="T205" s="5"/>
      <c r="U205" s="5"/>
      <c r="V205" s="5"/>
      <c r="W205" s="5">
        <f t="shared" si="25"/>
        <v>0</v>
      </c>
      <c r="X205" s="5" t="str" cm="1">
        <f t="array" ref="X205">IF(W205=0,"",MEDIANIFS($S$2:$S$209,$M$2:$M$209,U205,$N$2:$N$209,V205,$P$2:$P$209,"Resale"))</f>
        <v/>
      </c>
      <c r="Y205" s="5" t="str">
        <f t="shared" si="26"/>
        <v/>
      </c>
      <c r="Z205" s="5">
        <f t="shared" si="27"/>
        <v>0</v>
      </c>
      <c r="AA205" s="5" t="str" cm="1">
        <f t="array" ref="AA205">IF(Z205=0,"",MEDIAN(_xlfn._xlws.FILTER($Y$2:$Y$209,($M$2:$M$209=U205)*($N$2:$N$209=V205)*($P$2:$P$209="Long Term Rental")*($Y$2:$Y$209&lt;&gt;""),"")))</f>
        <v/>
      </c>
      <c r="AB205" s="5" t="str">
        <f t="shared" si="28"/>
        <v/>
      </c>
      <c r="AC205" s="5" t="str" cm="1">
        <f t="array" ref="AC205">IFERROR(MEDIAN(_xlfn._xlws.FILTER($Q$2:$Q$209,($M$2:$M$209=U205)*($P$2:$P$209="Short Term Rental")*($Q$2:$Q$209&lt;&gt;""))),"")</f>
        <v/>
      </c>
    </row>
    <row r="206" spans="1:29" ht="15" thickBot="1" x14ac:dyDescent="0.4">
      <c r="A206" s="1" t="s">
        <v>415</v>
      </c>
      <c r="B206" s="1" t="s">
        <v>252</v>
      </c>
      <c r="C206" s="1" t="s">
        <v>46</v>
      </c>
      <c r="D206" s="1" t="s">
        <v>131</v>
      </c>
      <c r="E206" s="1" t="s">
        <v>42</v>
      </c>
      <c r="F206" s="3">
        <v>35.46</v>
      </c>
      <c r="G206" s="1" t="s">
        <v>43</v>
      </c>
      <c r="H206" s="1"/>
      <c r="I206" s="1" t="s">
        <v>64</v>
      </c>
      <c r="J206" s="1" t="s">
        <v>37</v>
      </c>
      <c r="K206" s="1" t="s">
        <v>53</v>
      </c>
      <c r="L206" s="1"/>
      <c r="M206" s="5" t="str">
        <f>_xlfn.XLOOKUP(TRIM(C206),MAPPING!A:A,MAPPING!B:B,"CHECK")</f>
        <v>Matheran Road</v>
      </c>
      <c r="N206" s="5" t="str">
        <f>_xlfn.XLOOKUP(D206,MAPPING!G:G,MAPPING!H:H,"CHECK")</f>
        <v>Plot</v>
      </c>
      <c r="O206" s="5" t="str">
        <f>_xlfn.XLOOKUP(E206,MAPPING!J:J,MAPPING!K:K,"CHECK")</f>
        <v>NA</v>
      </c>
      <c r="P206" s="5" t="str">
        <f>_xlfn.XLOOKUP(J206,MAPPING!M:M,MAPPING!N:N,"CHECK")</f>
        <v>Resale</v>
      </c>
      <c r="Q206" s="5">
        <f t="shared" si="22"/>
        <v>0</v>
      </c>
      <c r="R206" s="5">
        <f t="shared" si="23"/>
        <v>38615.94</v>
      </c>
      <c r="S206" s="5">
        <f t="shared" si="24"/>
        <v>0</v>
      </c>
      <c r="T206" s="5"/>
      <c r="U206" s="5"/>
      <c r="V206" s="5"/>
      <c r="W206" s="5">
        <f t="shared" si="25"/>
        <v>0</v>
      </c>
      <c r="X206" s="5" t="str" cm="1">
        <f t="array" ref="X206">IF(W206=0,"",MEDIANIFS($S$2:$S$209,$M$2:$M$209,U206,$N$2:$N$209,V206,$P$2:$P$209,"Resale"))</f>
        <v/>
      </c>
      <c r="Y206" s="5" t="str">
        <f t="shared" si="26"/>
        <v/>
      </c>
      <c r="Z206" s="5">
        <f t="shared" si="27"/>
        <v>0</v>
      </c>
      <c r="AA206" s="5" t="str" cm="1">
        <f t="array" ref="AA206">IF(Z206=0,"",MEDIAN(_xlfn._xlws.FILTER($Y$2:$Y$209,($M$2:$M$209=U206)*($N$2:$N$209=V206)*($P$2:$P$209="Long Term Rental")*($Y$2:$Y$209&lt;&gt;""),"")))</f>
        <v/>
      </c>
      <c r="AB206" s="5" t="str">
        <f t="shared" si="28"/>
        <v/>
      </c>
      <c r="AC206" s="5" t="str" cm="1">
        <f t="array" ref="AC206">IFERROR(MEDIAN(_xlfn._xlws.FILTER($Q$2:$Q$209,($M$2:$M$209=U206)*($P$2:$P$209="Short Term Rental")*($Q$2:$Q$209&lt;&gt;""))),"")</f>
        <v/>
      </c>
    </row>
    <row r="207" spans="1:29" ht="15" thickBot="1" x14ac:dyDescent="0.4">
      <c r="A207" s="1" t="s">
        <v>206</v>
      </c>
      <c r="B207" s="1" t="s">
        <v>207</v>
      </c>
      <c r="C207" s="1" t="s">
        <v>28</v>
      </c>
      <c r="D207" s="1" t="s">
        <v>155</v>
      </c>
      <c r="E207" s="1" t="s">
        <v>42</v>
      </c>
      <c r="F207" s="3">
        <v>3.12</v>
      </c>
      <c r="G207" s="1" t="s">
        <v>85</v>
      </c>
      <c r="H207" s="3">
        <v>2.2799999999999998</v>
      </c>
      <c r="I207" s="1" t="s">
        <v>64</v>
      </c>
      <c r="J207" s="1" t="s">
        <v>37</v>
      </c>
      <c r="K207" s="1" t="s">
        <v>19</v>
      </c>
      <c r="L207" s="1"/>
      <c r="M207" s="5" t="str">
        <f>_xlfn.XLOOKUP(TRIM(C207),MAPPING!A:A,MAPPING!B:B,"CHECK")</f>
        <v>Matheran Road</v>
      </c>
      <c r="N207" s="5" t="str">
        <f>_xlfn.XLOOKUP(D207,MAPPING!G:G,MAPPING!H:H,"CHECK")</f>
        <v>Farmland</v>
      </c>
      <c r="O207" s="5" t="str">
        <f>_xlfn.XLOOKUP(E207,MAPPING!J:J,MAPPING!K:K,"CHECK")</f>
        <v>NA</v>
      </c>
      <c r="P207" s="5" t="str">
        <f>_xlfn.XLOOKUP(J207,MAPPING!M:M,MAPPING!N:N,"CHECK")</f>
        <v>Resale</v>
      </c>
      <c r="Q207" s="5">
        <f t="shared" si="22"/>
        <v>22799999.999999996</v>
      </c>
      <c r="R207" s="5">
        <f t="shared" si="23"/>
        <v>135907.20000000001</v>
      </c>
      <c r="S207" s="5">
        <f t="shared" si="24"/>
        <v>167.761531397895</v>
      </c>
      <c r="T207" s="5"/>
      <c r="U207" s="5"/>
      <c r="V207" s="5"/>
      <c r="W207" s="5">
        <f t="shared" si="25"/>
        <v>0</v>
      </c>
      <c r="X207" s="5" t="str" cm="1">
        <f t="array" ref="X207">IF(W207=0,"",MEDIANIFS($S$2:$S$209,$M$2:$M$209,U207,$N$2:$N$209,V207,$P$2:$P$209,"Resale"))</f>
        <v/>
      </c>
      <c r="Y207" s="5" t="str">
        <f t="shared" si="26"/>
        <v/>
      </c>
      <c r="Z207" s="5">
        <f t="shared" si="27"/>
        <v>0</v>
      </c>
      <c r="AA207" s="5" t="str" cm="1">
        <f t="array" ref="AA207">IF(Z207=0,"",MEDIAN(_xlfn._xlws.FILTER($Y$2:$Y$209,($M$2:$M$209=U207)*($N$2:$N$209=V207)*($P$2:$P$209="Long Term Rental")*($Y$2:$Y$209&lt;&gt;""),"")))</f>
        <v/>
      </c>
      <c r="AB207" s="5" t="str">
        <f t="shared" si="28"/>
        <v/>
      </c>
      <c r="AC207" s="5" t="str" cm="1">
        <f t="array" ref="AC207">IFERROR(MEDIAN(_xlfn._xlws.FILTER($Q$2:$Q$209,($M$2:$M$209=U207)*($P$2:$P$209="Short Term Rental")*($Q$2:$Q$209&lt;&gt;""))),"")</f>
        <v/>
      </c>
    </row>
    <row r="208" spans="1:29" ht="15" thickBot="1" x14ac:dyDescent="0.4">
      <c r="A208" s="1" t="s">
        <v>327</v>
      </c>
      <c r="B208" s="1" t="s">
        <v>328</v>
      </c>
      <c r="C208" s="1" t="s">
        <v>51</v>
      </c>
      <c r="D208" s="1" t="s">
        <v>47</v>
      </c>
      <c r="E208" s="1" t="s">
        <v>42</v>
      </c>
      <c r="F208" s="3">
        <v>3.81</v>
      </c>
      <c r="G208" s="1" t="s">
        <v>85</v>
      </c>
      <c r="H208" s="3">
        <v>13.57</v>
      </c>
      <c r="I208" s="1" t="s">
        <v>64</v>
      </c>
      <c r="J208" s="1" t="s">
        <v>37</v>
      </c>
      <c r="K208" s="1" t="s">
        <v>19</v>
      </c>
      <c r="L208" s="1"/>
      <c r="M208" s="5" t="str">
        <f>_xlfn.XLOOKUP(TRIM(C208),MAPPING!A:A,MAPPING!B:B,"CHECK")</f>
        <v>Kashele</v>
      </c>
      <c r="N208" s="5" t="str">
        <f>_xlfn.XLOOKUP(D208,MAPPING!G:G,MAPPING!H:H,"CHECK")</f>
        <v>Villa</v>
      </c>
      <c r="O208" s="5" t="str">
        <f>_xlfn.XLOOKUP(E208,MAPPING!J:J,MAPPING!K:K,"CHECK")</f>
        <v>NA</v>
      </c>
      <c r="P208" s="5" t="str">
        <f>_xlfn.XLOOKUP(J208,MAPPING!M:M,MAPPING!N:N,"CHECK")</f>
        <v>Resale</v>
      </c>
      <c r="Q208" s="5">
        <f t="shared" si="22"/>
        <v>135700000</v>
      </c>
      <c r="R208" s="5">
        <f t="shared" si="23"/>
        <v>165963.6</v>
      </c>
      <c r="S208" s="5">
        <f t="shared" si="24"/>
        <v>817.64917126406033</v>
      </c>
      <c r="T208" s="5"/>
      <c r="U208" s="5"/>
      <c r="V208" s="5"/>
      <c r="W208" s="5">
        <f t="shared" si="25"/>
        <v>0</v>
      </c>
      <c r="X208" s="5" t="str" cm="1">
        <f t="array" ref="X208">IF(W208=0,"",MEDIANIFS($S$2:$S$209,$M$2:$M$209,U208,$N$2:$N$209,V208,$P$2:$P$209,"Resale"))</f>
        <v/>
      </c>
      <c r="Y208" s="5" t="str">
        <f t="shared" si="26"/>
        <v/>
      </c>
      <c r="Z208" s="5">
        <f t="shared" si="27"/>
        <v>0</v>
      </c>
      <c r="AA208" s="5" t="str" cm="1">
        <f t="array" ref="AA208">IF(Z208=0,"",MEDIAN(_xlfn._xlws.FILTER($Y$2:$Y$209,($M$2:$M$209=U208)*($N$2:$N$209=V208)*($P$2:$P$209="Long Term Rental")*($Y$2:$Y$209&lt;&gt;""),"")))</f>
        <v/>
      </c>
      <c r="AB208" s="5" t="str">
        <f t="shared" si="28"/>
        <v/>
      </c>
      <c r="AC208" s="5" t="str" cm="1">
        <f t="array" ref="AC208">IFERROR(MEDIAN(_xlfn._xlws.FILTER($Q$2:$Q$209,($M$2:$M$209=U208)*($P$2:$P$209="Short Term Rental")*($Q$2:$Q$209&lt;&gt;""))),"")</f>
        <v/>
      </c>
    </row>
    <row r="209" spans="1:29" x14ac:dyDescent="0.35">
      <c r="A209" s="5" t="s">
        <v>443</v>
      </c>
      <c r="B209" s="5" t="s">
        <v>314</v>
      </c>
      <c r="C209" s="5" t="s">
        <v>152</v>
      </c>
      <c r="D209" s="5" t="s">
        <v>63</v>
      </c>
      <c r="E209" s="5" t="s">
        <v>42</v>
      </c>
      <c r="F209" s="6">
        <v>4249.17</v>
      </c>
      <c r="G209" s="5" t="s">
        <v>30</v>
      </c>
      <c r="H209" s="6">
        <v>33.85</v>
      </c>
      <c r="I209" s="5" t="s">
        <v>36</v>
      </c>
      <c r="J209" s="5" t="s">
        <v>37</v>
      </c>
      <c r="K209" s="5" t="s">
        <v>19</v>
      </c>
      <c r="L209" s="5"/>
      <c r="M209" s="5" t="str">
        <f>_xlfn.XLOOKUP(TRIM(C209),MAPPING!A:A,MAPPING!B:B,"CHECK")</f>
        <v>Kashele</v>
      </c>
      <c r="N209" s="5" t="str">
        <f>_xlfn.XLOOKUP(D209,MAPPING!G:G,MAPPING!H:H,"CHECK")</f>
        <v>Plot</v>
      </c>
      <c r="O209" s="5" t="str">
        <f>_xlfn.XLOOKUP(E209,MAPPING!J:J,MAPPING!K:K,"CHECK")</f>
        <v>NA</v>
      </c>
      <c r="P209" s="5" t="str">
        <f>_xlfn.XLOOKUP(J209,MAPPING!M:M,MAPPING!N:N,"CHECK")</f>
        <v>Resale</v>
      </c>
      <c r="Q209" s="5">
        <f t="shared" si="22"/>
        <v>3385000</v>
      </c>
      <c r="R209" s="5">
        <f t="shared" si="23"/>
        <v>4249.17</v>
      </c>
      <c r="S209" s="5">
        <f t="shared" si="24"/>
        <v>796.62616463921188</v>
      </c>
      <c r="T209" s="5"/>
      <c r="U209" s="5"/>
      <c r="V209" s="5"/>
      <c r="W209" s="5">
        <f t="shared" si="25"/>
        <v>0</v>
      </c>
      <c r="X209" s="5" t="str" cm="1">
        <f t="array" ref="X209">IF(W209=0,"",MEDIANIFS($S$2:$S$209,$M$2:$M$209,U209,$N$2:$N$209,V209,$P$2:$P$209,"Resale"))</f>
        <v/>
      </c>
      <c r="Y209" s="5" t="str">
        <f t="shared" si="26"/>
        <v/>
      </c>
      <c r="Z209" s="5">
        <f t="shared" si="27"/>
        <v>0</v>
      </c>
      <c r="AA209" s="5" t="str" cm="1">
        <f t="array" ref="AA209">IF(Z209=0,"",MEDIAN(_xlfn._xlws.FILTER($Y$2:$Y$209,($M$2:$M$209=U209)*($N$2:$N$209=V209)*($P$2:$P$209="Long Term Rental")*($Y$2:$Y$209&lt;&gt;""),"")))</f>
        <v/>
      </c>
      <c r="AB209" s="5" t="str">
        <f t="shared" si="28"/>
        <v/>
      </c>
      <c r="AC209" s="5" t="str" cm="1">
        <f t="array" ref="AC209">IFERROR(MEDIAN(_xlfn._xlws.FILTER($Q$2:$Q$209,($M$2:$M$209=U209)*($P$2:$P$209="Short Term Rental")*($Q$2:$Q$209&lt;&gt;""))),"")</f>
        <v/>
      </c>
    </row>
  </sheetData>
  <phoneticPr fontId="2" type="noConversion"/>
  <conditionalFormatting sqref="A1">
    <cfRule type="duplicateValues" dxfId="3" priority="4"/>
  </conditionalFormatting>
  <conditionalFormatting sqref="A1:A1048576">
    <cfRule type="duplicateValues" dxfId="2" priority="1"/>
  </conditionalFormatting>
  <conditionalFormatting sqref="A2:A209">
    <cfRule type="duplicateValues" dxfId="1" priority="2"/>
  </conditionalFormatting>
  <conditionalFormatting sqref="D2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2077-E37D-4C0D-A20D-F24DA3423F18}">
  <dimension ref="A1:P23"/>
  <sheetViews>
    <sheetView topLeftCell="D1" zoomScale="83" workbookViewId="0">
      <selection activeCell="N9" sqref="N9"/>
    </sheetView>
  </sheetViews>
  <sheetFormatPr defaultRowHeight="14.5" x14ac:dyDescent="0.35"/>
  <cols>
    <col min="1" max="1" width="23.08984375" customWidth="1"/>
    <col min="2" max="2" width="14.26953125" customWidth="1"/>
    <col min="4" max="4" width="22.90625" customWidth="1"/>
    <col min="7" max="7" width="18.26953125" customWidth="1"/>
    <col min="10" max="10" width="16.90625" bestFit="1" customWidth="1"/>
    <col min="11" max="11" width="16.54296875" customWidth="1"/>
    <col min="13" max="13" width="15.81640625" customWidth="1"/>
    <col min="14" max="14" width="14" customWidth="1"/>
    <col min="16" max="16" width="16.6328125" customWidth="1"/>
  </cols>
  <sheetData>
    <row r="1" spans="1:16" x14ac:dyDescent="0.35">
      <c r="A1" t="s">
        <v>461</v>
      </c>
      <c r="B1" t="s">
        <v>462</v>
      </c>
      <c r="D1" t="s">
        <v>463</v>
      </c>
      <c r="G1" t="s">
        <v>464</v>
      </c>
      <c r="H1" t="s">
        <v>465</v>
      </c>
      <c r="J1" t="s">
        <v>467</v>
      </c>
      <c r="K1" t="s">
        <v>468</v>
      </c>
      <c r="M1" t="s">
        <v>470</v>
      </c>
      <c r="N1" t="s">
        <v>455</v>
      </c>
      <c r="P1" t="s">
        <v>471</v>
      </c>
    </row>
    <row r="2" spans="1:16" x14ac:dyDescent="0.35">
      <c r="A2" t="str">
        <f>D2</f>
        <v>Central Karjat</v>
      </c>
      <c r="B2" t="s">
        <v>40</v>
      </c>
      <c r="D2" t="str" cm="1">
        <f t="array" ref="D2:D23">_xlfn.UNIQUE(TRIM(CLEAN(MAIN!C2:C209)))</f>
        <v>Central Karjat</v>
      </c>
      <c r="G2" t="str" cm="1">
        <f t="array" ref="G2:G12">_xlfn.UNIQUE(MAIN!D2:D209)</f>
        <v>NA Plot</v>
      </c>
      <c r="H2" t="s">
        <v>63</v>
      </c>
      <c r="J2" t="str" cm="1">
        <f t="array" ref="J2:J9">_xlfn.UNIQUE(MAIN!E2:E209)</f>
        <v>NA</v>
      </c>
      <c r="K2" t="s">
        <v>42</v>
      </c>
      <c r="M2" t="str" cm="1">
        <f t="array" ref="M2:M4">_xlfn.UNIQUE(MAIN!J2:J209)</f>
        <v>One-time</v>
      </c>
      <c r="N2" t="s">
        <v>473</v>
      </c>
      <c r="P2" t="str" cm="1">
        <f t="array" ref="P2:P4">_xlfn.UNIQUE(MAIN!K2:K209)</f>
        <v>Active</v>
      </c>
    </row>
    <row r="3" spans="1:16" x14ac:dyDescent="0.35">
      <c r="A3" t="str">
        <f t="shared" ref="A3:A23" si="0">D3</f>
        <v>Karjat</v>
      </c>
      <c r="B3" t="s">
        <v>40</v>
      </c>
      <c r="D3" t="str">
        <v>Karjat</v>
      </c>
      <c r="G3" t="str">
        <v>Bungalow</v>
      </c>
      <c r="H3" t="s">
        <v>47</v>
      </c>
      <c r="J3" t="str">
        <v>4BHK</v>
      </c>
      <c r="K3" t="s">
        <v>469</v>
      </c>
      <c r="M3" t="str">
        <v>Monthly</v>
      </c>
      <c r="N3" t="s">
        <v>472</v>
      </c>
      <c r="P3" t="str">
        <v>Price on Request</v>
      </c>
    </row>
    <row r="4" spans="1:16" x14ac:dyDescent="0.35">
      <c r="A4" t="str">
        <f t="shared" si="0"/>
        <v>Karjat Station Road</v>
      </c>
      <c r="B4" t="s">
        <v>40</v>
      </c>
      <c r="D4" t="str">
        <v>Karjat Station Road</v>
      </c>
      <c r="G4" t="str">
        <v>Plot</v>
      </c>
      <c r="H4" t="s">
        <v>63</v>
      </c>
      <c r="J4" t="str">
        <v>2BHK</v>
      </c>
      <c r="K4" t="s">
        <v>52</v>
      </c>
      <c r="M4" t="str">
        <v>Per Night</v>
      </c>
      <c r="N4" t="s">
        <v>474</v>
      </c>
      <c r="P4" t="str">
        <v>Sold</v>
      </c>
    </row>
    <row r="5" spans="1:16" x14ac:dyDescent="0.35">
      <c r="A5" t="str">
        <f>D5</f>
        <v>Karjat Town</v>
      </c>
      <c r="B5" t="s">
        <v>40</v>
      </c>
      <c r="D5" t="str">
        <v>Karjat Town</v>
      </c>
      <c r="G5" t="str">
        <v>Land Parcel</v>
      </c>
      <c r="H5" t="s">
        <v>63</v>
      </c>
      <c r="J5" t="str">
        <v>Two BHK</v>
      </c>
      <c r="K5" t="s">
        <v>52</v>
      </c>
    </row>
    <row r="6" spans="1:16" x14ac:dyDescent="0.35">
      <c r="A6" t="str">
        <f t="shared" si="0"/>
        <v>Karjat West</v>
      </c>
      <c r="B6" t="s">
        <v>40</v>
      </c>
      <c r="D6" t="str">
        <v>Karjat West</v>
      </c>
      <c r="G6" t="str">
        <v>Farm</v>
      </c>
      <c r="H6" t="s">
        <v>466</v>
      </c>
      <c r="J6" t="str">
        <v>3 BHK</v>
      </c>
      <c r="K6" t="s">
        <v>25</v>
      </c>
    </row>
    <row r="7" spans="1:16" x14ac:dyDescent="0.35">
      <c r="A7" t="str">
        <f t="shared" si="0"/>
        <v>Neral Rd</v>
      </c>
      <c r="B7" t="s">
        <v>56</v>
      </c>
      <c r="D7" t="str">
        <v>Neral Rd</v>
      </c>
      <c r="G7" t="str">
        <v>Independent House</v>
      </c>
      <c r="H7" t="s">
        <v>47</v>
      </c>
      <c r="J7" t="str">
        <v>3BHK</v>
      </c>
      <c r="K7" t="s">
        <v>25</v>
      </c>
    </row>
    <row r="8" spans="1:16" x14ac:dyDescent="0.35">
      <c r="A8" t="str">
        <f>D8</f>
        <v>Neral</v>
      </c>
      <c r="B8" t="s">
        <v>56</v>
      </c>
      <c r="D8" t="str">
        <v>Neral</v>
      </c>
      <c r="G8" t="str">
        <v>Farmhouse</v>
      </c>
      <c r="H8" t="s">
        <v>47</v>
      </c>
      <c r="J8" t="str">
        <v>2 BHK</v>
      </c>
      <c r="K8" t="s">
        <v>52</v>
      </c>
    </row>
    <row r="9" spans="1:16" x14ac:dyDescent="0.35">
      <c r="A9" t="str">
        <f t="shared" si="0"/>
        <v>Near Neral Station</v>
      </c>
      <c r="B9" t="s">
        <v>56</v>
      </c>
      <c r="D9" t="str">
        <v>Near Neral Station</v>
      </c>
      <c r="G9" t="str">
        <v>Farm Land</v>
      </c>
      <c r="H9" t="s">
        <v>466</v>
      </c>
      <c r="J9" t="str">
        <v>3BR</v>
      </c>
      <c r="K9" t="s">
        <v>25</v>
      </c>
    </row>
    <row r="10" spans="1:16" x14ac:dyDescent="0.35">
      <c r="A10" t="str">
        <f t="shared" si="0"/>
        <v>Neral Village</v>
      </c>
      <c r="B10" t="s">
        <v>56</v>
      </c>
      <c r="D10" t="str">
        <v>Neral Village</v>
      </c>
      <c r="G10" t="str">
        <v>Row House</v>
      </c>
      <c r="H10" t="s">
        <v>47</v>
      </c>
    </row>
    <row r="11" spans="1:16" x14ac:dyDescent="0.35">
      <c r="A11" t="str">
        <f t="shared" si="0"/>
        <v>Kasheli</v>
      </c>
      <c r="B11" t="s">
        <v>33</v>
      </c>
      <c r="D11" t="str">
        <v>Kasheli</v>
      </c>
      <c r="G11" t="str">
        <v>Villa</v>
      </c>
      <c r="H11" t="s">
        <v>47</v>
      </c>
    </row>
    <row r="12" spans="1:16" x14ac:dyDescent="0.35">
      <c r="A12" t="str">
        <f t="shared" si="0"/>
        <v>Kashele Village</v>
      </c>
      <c r="B12" t="s">
        <v>33</v>
      </c>
      <c r="D12" t="str">
        <v>Kashele Village</v>
      </c>
      <c r="G12" t="str">
        <v>Agricultural Land</v>
      </c>
      <c r="H12" t="s">
        <v>466</v>
      </c>
    </row>
    <row r="13" spans="1:16" x14ac:dyDescent="0.35">
      <c r="A13" t="str">
        <f>D13</f>
        <v>Kashele</v>
      </c>
      <c r="B13" t="s">
        <v>33</v>
      </c>
      <c r="D13" t="str">
        <v>Kashele</v>
      </c>
    </row>
    <row r="14" spans="1:16" x14ac:dyDescent="0.35">
      <c r="A14" t="str">
        <f t="shared" si="0"/>
        <v>Kashele Phata</v>
      </c>
      <c r="B14" t="s">
        <v>33</v>
      </c>
      <c r="D14" t="str">
        <v>Kashele Phata</v>
      </c>
    </row>
    <row r="15" spans="1:16" x14ac:dyDescent="0.35">
      <c r="A15" t="str">
        <f>D15</f>
        <v>Kondhwal Valley</v>
      </c>
      <c r="B15" t="s">
        <v>77</v>
      </c>
      <c r="D15" t="str">
        <v>Kondhwal Valley</v>
      </c>
    </row>
    <row r="16" spans="1:16" x14ac:dyDescent="0.35">
      <c r="A16" t="str">
        <f t="shared" si="0"/>
        <v>Kondhwal</v>
      </c>
      <c r="B16" t="s">
        <v>77</v>
      </c>
      <c r="D16" t="str">
        <v>Kondhwal</v>
      </c>
    </row>
    <row r="17" spans="1:4" x14ac:dyDescent="0.35">
      <c r="A17" t="str">
        <f t="shared" si="0"/>
        <v>Kondhwal-Palasdari belt</v>
      </c>
      <c r="B17" t="s">
        <v>77</v>
      </c>
      <c r="D17" t="str">
        <v>Kondhwal-Palasdari belt</v>
      </c>
    </row>
    <row r="18" spans="1:4" x14ac:dyDescent="0.35">
      <c r="A18" t="str">
        <f t="shared" si="0"/>
        <v>Palasdari (Kondhwal)</v>
      </c>
      <c r="B18" t="s">
        <v>77</v>
      </c>
      <c r="D18" t="str">
        <v>Palasdari (Kondhwal)</v>
      </c>
    </row>
    <row r="19" spans="1:4" x14ac:dyDescent="0.35">
      <c r="A19" t="str">
        <f t="shared" si="0"/>
        <v>Near Matheran Road</v>
      </c>
      <c r="B19" t="s">
        <v>28</v>
      </c>
      <c r="D19" t="str">
        <v>Near Matheran Road</v>
      </c>
    </row>
    <row r="20" spans="1:4" x14ac:dyDescent="0.35">
      <c r="A20" t="str">
        <f t="shared" si="0"/>
        <v>Matheran Road</v>
      </c>
      <c r="B20" t="s">
        <v>28</v>
      </c>
      <c r="D20" t="str">
        <v>Matheran Road</v>
      </c>
    </row>
    <row r="21" spans="1:4" x14ac:dyDescent="0.35">
      <c r="A21" t="str">
        <f t="shared" si="0"/>
        <v>Matheran Rd belt</v>
      </c>
      <c r="B21" t="s">
        <v>28</v>
      </c>
      <c r="D21" t="str">
        <v>Matheran Rd belt</v>
      </c>
    </row>
    <row r="22" spans="1:4" x14ac:dyDescent="0.35">
      <c r="A22" t="str">
        <f t="shared" si="0"/>
        <v>Matheran Rd</v>
      </c>
      <c r="B22" t="s">
        <v>28</v>
      </c>
      <c r="D22" t="str">
        <v>Matheran Rd</v>
      </c>
    </row>
    <row r="23" spans="1:4" x14ac:dyDescent="0.35">
      <c r="A23" t="str">
        <f t="shared" si="0"/>
        <v>Dolkhamb (Matheran Rd)</v>
      </c>
      <c r="B23" t="s">
        <v>28</v>
      </c>
      <c r="D23" t="str">
        <v>Dolkhamb (Matheran Rd)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CBB6-E0EB-40CC-850C-0B34141D7160}">
  <dimension ref="A1:F78"/>
  <sheetViews>
    <sheetView showGridLines="0" tabSelected="1" topLeftCell="A84" zoomScale="75" zoomScaleNormal="100" workbookViewId="0">
      <selection activeCell="H69" sqref="H69"/>
    </sheetView>
  </sheetViews>
  <sheetFormatPr defaultColWidth="8.6328125" defaultRowHeight="14.5" x14ac:dyDescent="0.35"/>
  <cols>
    <col min="1" max="1" width="45.26953125" style="9" customWidth="1"/>
    <col min="2" max="2" width="35.90625" style="9" customWidth="1"/>
    <col min="3" max="3" width="109" style="9" customWidth="1"/>
    <col min="4" max="6" width="18" style="9" customWidth="1"/>
    <col min="7" max="16384" width="8.6328125" style="9"/>
  </cols>
  <sheetData>
    <row r="1" spans="1:6" ht="21.75" customHeight="1" x14ac:dyDescent="0.35">
      <c r="A1" s="8" t="s">
        <v>475</v>
      </c>
    </row>
    <row r="3" spans="1:6" ht="60" customHeight="1" x14ac:dyDescent="0.35">
      <c r="A3" s="17" t="s">
        <v>476</v>
      </c>
      <c r="B3" s="17"/>
      <c r="C3" s="17"/>
    </row>
    <row r="5" spans="1:6" ht="25.5" customHeight="1" x14ac:dyDescent="0.35">
      <c r="A5" s="10" t="s">
        <v>477</v>
      </c>
      <c r="B5" s="10" t="s">
        <v>478</v>
      </c>
      <c r="C5" s="10" t="s">
        <v>479</v>
      </c>
      <c r="D5" s="10" t="s">
        <v>480</v>
      </c>
      <c r="E5" s="10" t="s">
        <v>481</v>
      </c>
      <c r="F5" s="10" t="s">
        <v>458</v>
      </c>
    </row>
    <row r="6" spans="1:6" x14ac:dyDescent="0.35">
      <c r="A6" s="11" t="s">
        <v>40</v>
      </c>
      <c r="B6" s="11" t="s">
        <v>47</v>
      </c>
      <c r="C6" s="12">
        <f>COUNTIFS(MAIN!$M$2:$M$209,$A6,MAIN!$N$2:$N$209,$B6,MAIN!$P$2:$P$209,"Resale")</f>
        <v>11</v>
      </c>
      <c r="D6" s="12">
        <f>COUNTIFS(MAIN!$M$2:$M$209,$A6,MAIN!$N$2:$N$209,$B6,MAIN!$P$2:$P$209,"Long Term Rental")</f>
        <v>8</v>
      </c>
      <c r="E6" s="12">
        <f>COUNTIFS(MAIN!$M$2:$M$209,$A6,MAIN!$N$2:$N$209,$B6,MAIN!$P$2:$P$209,"Short Term Rental")</f>
        <v>10</v>
      </c>
      <c r="F6" s="12"/>
    </row>
    <row r="7" spans="1:6" x14ac:dyDescent="0.35">
      <c r="A7" s="11" t="s">
        <v>40</v>
      </c>
      <c r="B7" s="11" t="s">
        <v>63</v>
      </c>
      <c r="C7" s="12">
        <f>COUNTIFS(MAIN!$M$2:$M$209,$A7,MAIN!$N$2:$N$209,$B7,MAIN!$P$2:$P$209,"Resale")</f>
        <v>8</v>
      </c>
      <c r="D7" s="12">
        <f>COUNTIFS(MAIN!$M$2:$M$209,$A7,MAIN!$N$2:$N$209,$B7,MAIN!$P$2:$P$209,"Long Term Rental")</f>
        <v>0</v>
      </c>
      <c r="E7" s="12">
        <f>COUNTIFS(MAIN!$M$2:$M$209,$A7,MAIN!$N$2:$N$209,$B7,MAIN!$P$2:$P$209,"Short Term Rental")</f>
        <v>0</v>
      </c>
      <c r="F7" s="12"/>
    </row>
    <row r="8" spans="1:6" x14ac:dyDescent="0.35">
      <c r="A8" s="11" t="s">
        <v>40</v>
      </c>
      <c r="B8" s="11" t="s">
        <v>466</v>
      </c>
      <c r="C8" s="12">
        <f>COUNTIFS(MAIN!$M$2:$M$209,$A8,MAIN!$N$2:$N$209,$B8,MAIN!$P$2:$P$209,"Resale")</f>
        <v>5</v>
      </c>
      <c r="D8" s="12">
        <f>COUNTIFS(MAIN!$M$2:$M$209,$A8,MAIN!$N$2:$N$209,$B8,MAIN!$P$2:$P$209,"Long Term Rental")</f>
        <v>0</v>
      </c>
      <c r="E8" s="12">
        <f>COUNTIFS(MAIN!$M$2:$M$209,$A8,MAIN!$N$2:$N$209,$B8,MAIN!$P$2:$P$209,"Short Term Rental")</f>
        <v>0</v>
      </c>
      <c r="F8" s="12"/>
    </row>
    <row r="9" spans="1:6" x14ac:dyDescent="0.35">
      <c r="A9" s="11" t="s">
        <v>56</v>
      </c>
      <c r="B9" s="11" t="s">
        <v>47</v>
      </c>
      <c r="C9" s="12">
        <f>COUNTIFS(MAIN!$M$2:$M$209,$A9,MAIN!$N$2:$N$209,$B9,MAIN!$P$2:$P$209,"Resale")</f>
        <v>15</v>
      </c>
      <c r="D9" s="12">
        <f>COUNTIFS(MAIN!$M$2:$M$209,$A9,MAIN!$N$2:$N$209,$B9,MAIN!$P$2:$P$209,"Long Term Rental")</f>
        <v>9</v>
      </c>
      <c r="E9" s="12">
        <f>COUNTIFS(MAIN!$M$2:$M$209,$A9,MAIN!$N$2:$N$209,$B9,MAIN!$P$2:$P$209,"Short Term Rental")</f>
        <v>9</v>
      </c>
      <c r="F9" s="12"/>
    </row>
    <row r="10" spans="1:6" x14ac:dyDescent="0.35">
      <c r="A10" s="11" t="s">
        <v>56</v>
      </c>
      <c r="B10" s="11" t="s">
        <v>63</v>
      </c>
      <c r="C10" s="12">
        <f>COUNTIFS(MAIN!$M$2:$M$209,$A10,MAIN!$N$2:$N$209,$B10,MAIN!$P$2:$P$209,"Resale")</f>
        <v>5</v>
      </c>
      <c r="D10" s="12">
        <f>COUNTIFS(MAIN!$M$2:$M$209,$A10,MAIN!$N$2:$N$209,$B10,MAIN!$P$2:$P$209,"Long Term Rental")</f>
        <v>0</v>
      </c>
      <c r="E10" s="12">
        <f>COUNTIFS(MAIN!$M$2:$M$209,$A10,MAIN!$N$2:$N$209,$B10,MAIN!$P$2:$P$209,"Short Term Rental")</f>
        <v>0</v>
      </c>
      <c r="F10" s="12"/>
    </row>
    <row r="11" spans="1:6" x14ac:dyDescent="0.35">
      <c r="A11" s="11" t="s">
        <v>56</v>
      </c>
      <c r="B11" s="11" t="s">
        <v>466</v>
      </c>
      <c r="C11" s="12">
        <f>COUNTIFS(MAIN!$M$2:$M$209,$A11,MAIN!$N$2:$N$209,$B11,MAIN!$P$2:$P$209,"Resale")</f>
        <v>5</v>
      </c>
      <c r="D11" s="12">
        <f>COUNTIFS(MAIN!$M$2:$M$209,$A11,MAIN!$N$2:$N$209,$B11,MAIN!$P$2:$P$209,"Long Term Rental")</f>
        <v>0</v>
      </c>
      <c r="E11" s="12">
        <f>COUNTIFS(MAIN!$M$2:$M$209,$A11,MAIN!$N$2:$N$209,$B11,MAIN!$P$2:$P$209,"Short Term Rental")</f>
        <v>0</v>
      </c>
      <c r="F11" s="12"/>
    </row>
    <row r="12" spans="1:6" x14ac:dyDescent="0.35">
      <c r="A12" s="11" t="s">
        <v>33</v>
      </c>
      <c r="B12" s="11" t="s">
        <v>47</v>
      </c>
      <c r="C12" s="12">
        <f>COUNTIFS(MAIN!$M$2:$M$209,$A12,MAIN!$N$2:$N$209,$B12,MAIN!$P$2:$P$209,"Resale")</f>
        <v>13</v>
      </c>
      <c r="D12" s="12">
        <f>COUNTIFS(MAIN!$M$2:$M$209,$A12,MAIN!$N$2:$N$209,$B12,MAIN!$P$2:$P$209,"Long Term Rental")</f>
        <v>9</v>
      </c>
      <c r="E12" s="12">
        <f>COUNTIFS(MAIN!$M$2:$M$209,$A12,MAIN!$N$2:$N$209,$B12,MAIN!$P$2:$P$209,"Short Term Rental")</f>
        <v>9</v>
      </c>
      <c r="F12" s="12"/>
    </row>
    <row r="13" spans="1:6" x14ac:dyDescent="0.35">
      <c r="A13" s="11" t="s">
        <v>33</v>
      </c>
      <c r="B13" s="11" t="s">
        <v>63</v>
      </c>
      <c r="C13" s="12">
        <f>COUNTIFS(MAIN!$M$2:$M$209,$A13,MAIN!$N$2:$N$209,$B13,MAIN!$P$2:$P$209,"Resale")</f>
        <v>9</v>
      </c>
      <c r="D13" s="12">
        <f>COUNTIFS(MAIN!$M$2:$M$209,$A13,MAIN!$N$2:$N$209,$B13,MAIN!$P$2:$P$209,"Long Term Rental")</f>
        <v>0</v>
      </c>
      <c r="E13" s="12">
        <f>COUNTIFS(MAIN!$M$2:$M$209,$A13,MAIN!$N$2:$N$209,$B13,MAIN!$P$2:$P$209,"Short Term Rental")</f>
        <v>0</v>
      </c>
      <c r="F13" s="12"/>
    </row>
    <row r="14" spans="1:6" x14ac:dyDescent="0.35">
      <c r="A14" s="11" t="s">
        <v>33</v>
      </c>
      <c r="B14" s="11" t="s">
        <v>466</v>
      </c>
      <c r="C14" s="12">
        <f>COUNTIFS(MAIN!$M$2:$M$209,$A14,MAIN!$N$2:$N$209,$B14,MAIN!$P$2:$P$209,"Resale")</f>
        <v>5</v>
      </c>
      <c r="D14" s="12">
        <f>COUNTIFS(MAIN!$M$2:$M$209,$A14,MAIN!$N$2:$N$209,$B14,MAIN!$P$2:$P$209,"Long Term Rental")</f>
        <v>0</v>
      </c>
      <c r="E14" s="12">
        <f>COUNTIFS(MAIN!$M$2:$M$209,$A14,MAIN!$N$2:$N$209,$B14,MAIN!$P$2:$P$209,"Short Term Rental")</f>
        <v>0</v>
      </c>
      <c r="F14" s="12"/>
    </row>
    <row r="15" spans="1:6" x14ac:dyDescent="0.35">
      <c r="A15" s="11" t="s">
        <v>77</v>
      </c>
      <c r="B15" s="11" t="s">
        <v>47</v>
      </c>
      <c r="C15" s="12">
        <f>COUNTIFS(MAIN!$M$2:$M$209,$A15,MAIN!$N$2:$N$209,$B15,MAIN!$P$2:$P$209,"Resale")</f>
        <v>6</v>
      </c>
      <c r="D15" s="12">
        <f>COUNTIFS(MAIN!$M$2:$M$209,$A15,MAIN!$N$2:$N$209,$B15,MAIN!$P$2:$P$209,"Long Term Rental")</f>
        <v>9</v>
      </c>
      <c r="E15" s="12">
        <f>COUNTIFS(MAIN!$M$2:$M$209,$A15,MAIN!$N$2:$N$209,$B15,MAIN!$P$2:$P$209,"Short Term Rental")</f>
        <v>9</v>
      </c>
      <c r="F15" s="12"/>
    </row>
    <row r="16" spans="1:6" x14ac:dyDescent="0.35">
      <c r="A16" s="11" t="s">
        <v>77</v>
      </c>
      <c r="B16" s="11" t="s">
        <v>63</v>
      </c>
      <c r="C16" s="12">
        <f>COUNTIFS(MAIN!$M$2:$M$209,$A16,MAIN!$N$2:$N$209,$B16,MAIN!$P$2:$P$209,"Resale")</f>
        <v>8</v>
      </c>
      <c r="D16" s="12">
        <f>COUNTIFS(MAIN!$M$2:$M$209,$A16,MAIN!$N$2:$N$209,$B16,MAIN!$P$2:$P$209,"Long Term Rental")</f>
        <v>0</v>
      </c>
      <c r="E16" s="12">
        <f>COUNTIFS(MAIN!$M$2:$M$209,$A16,MAIN!$N$2:$N$209,$B16,MAIN!$P$2:$P$209,"Short Term Rental")</f>
        <v>0</v>
      </c>
      <c r="F16" s="12"/>
    </row>
    <row r="17" spans="1:6" x14ac:dyDescent="0.35">
      <c r="A17" s="11" t="s">
        <v>77</v>
      </c>
      <c r="B17" s="11" t="s">
        <v>466</v>
      </c>
      <c r="C17" s="12">
        <f>COUNTIFS(MAIN!$M$2:$M$209,$A17,MAIN!$N$2:$N$209,$B17,MAIN!$P$2:$P$209,"Resale")</f>
        <v>5</v>
      </c>
      <c r="D17" s="12">
        <f>COUNTIFS(MAIN!$M$2:$M$209,$A17,MAIN!$N$2:$N$209,$B17,MAIN!$P$2:$P$209,"Long Term Rental")</f>
        <v>0</v>
      </c>
      <c r="E17" s="12">
        <f>COUNTIFS(MAIN!$M$2:$M$209,$A17,MAIN!$N$2:$N$209,$B17,MAIN!$P$2:$P$209,"Short Term Rental")</f>
        <v>0</v>
      </c>
      <c r="F17" s="12"/>
    </row>
    <row r="18" spans="1:6" x14ac:dyDescent="0.35">
      <c r="A18" s="11" t="s">
        <v>28</v>
      </c>
      <c r="B18" s="11" t="s">
        <v>47</v>
      </c>
      <c r="C18" s="12">
        <f>COUNTIFS(MAIN!$M$2:$M$209,$A18,MAIN!$N$2:$N$209,$B18,MAIN!$P$2:$P$209,"Resale")</f>
        <v>10</v>
      </c>
      <c r="D18" s="12">
        <f>COUNTIFS(MAIN!$M$2:$M$209,$A18,MAIN!$N$2:$N$209,$B18,MAIN!$P$2:$P$209,"Long Term Rental")</f>
        <v>8</v>
      </c>
      <c r="E18" s="12">
        <f>COUNTIFS(MAIN!$M$2:$M$209,$A18,MAIN!$N$2:$N$209,$B18,MAIN!$P$2:$P$209,"Short Term Rental")</f>
        <v>7</v>
      </c>
      <c r="F18" s="12"/>
    </row>
    <row r="19" spans="1:6" x14ac:dyDescent="0.35">
      <c r="A19" s="11" t="s">
        <v>28</v>
      </c>
      <c r="B19" s="11" t="s">
        <v>63</v>
      </c>
      <c r="C19" s="12">
        <f>COUNTIFS(MAIN!$M$2:$M$209,$A19,MAIN!$N$2:$N$209,$B19,MAIN!$P$2:$P$209,"Resale")</f>
        <v>6</v>
      </c>
      <c r="D19" s="12">
        <f>COUNTIFS(MAIN!$M$2:$M$209,$A19,MAIN!$N$2:$N$209,$B19,MAIN!$P$2:$P$209,"Long Term Rental")</f>
        <v>0</v>
      </c>
      <c r="E19" s="12">
        <f>COUNTIFS(MAIN!$M$2:$M$209,$A19,MAIN!$N$2:$N$209,$B19,MAIN!$P$2:$P$209,"Short Term Rental")</f>
        <v>0</v>
      </c>
      <c r="F19" s="12"/>
    </row>
    <row r="20" spans="1:6" x14ac:dyDescent="0.35">
      <c r="A20" s="11" t="s">
        <v>28</v>
      </c>
      <c r="B20" s="11" t="s">
        <v>466</v>
      </c>
      <c r="C20" s="12">
        <f>COUNTIFS(MAIN!$M$2:$M$209,$A20,MAIN!$N$2:$N$209,$B20,MAIN!$P$2:$P$209,"Resale")</f>
        <v>10</v>
      </c>
      <c r="D20" s="12">
        <f>COUNTIFS(MAIN!$M$2:$M$209,$A20,MAIN!$N$2:$N$209,$B20,MAIN!$P$2:$P$209,"Long Term Rental")</f>
        <v>0</v>
      </c>
      <c r="E20" s="12">
        <f>COUNTIFS(MAIN!$M$2:$M$209,$A20,MAIN!$N$2:$N$209,$B20,MAIN!$P$2:$P$209,"Short Term Rental")</f>
        <v>0</v>
      </c>
      <c r="F20" s="12"/>
    </row>
    <row r="22" spans="1:6" ht="21.75" customHeight="1" x14ac:dyDescent="0.35">
      <c r="A22" s="8" t="s">
        <v>482</v>
      </c>
    </row>
    <row r="24" spans="1:6" x14ac:dyDescent="0.35">
      <c r="A24" s="13" t="s">
        <v>483</v>
      </c>
    </row>
    <row r="26" spans="1:6" ht="31.5" customHeight="1" x14ac:dyDescent="0.35">
      <c r="A26" s="10" t="s">
        <v>484</v>
      </c>
      <c r="B26" s="10" t="s">
        <v>485</v>
      </c>
      <c r="C26" s="10" t="s">
        <v>486</v>
      </c>
      <c r="D26" s="10" t="s">
        <v>487</v>
      </c>
    </row>
    <row r="27" spans="1:6" x14ac:dyDescent="0.35">
      <c r="A27" s="11" t="s">
        <v>488</v>
      </c>
      <c r="B27" s="12" t="s">
        <v>507</v>
      </c>
      <c r="C27" s="12" t="s">
        <v>509</v>
      </c>
      <c r="D27" s="12" t="s">
        <v>508</v>
      </c>
    </row>
    <row r="28" spans="1:6" x14ac:dyDescent="0.35">
      <c r="A28" s="11" t="s">
        <v>489</v>
      </c>
      <c r="B28" s="12" t="s">
        <v>511</v>
      </c>
      <c r="C28" s="12" t="s">
        <v>510</v>
      </c>
      <c r="D28" s="12"/>
    </row>
    <row r="29" spans="1:6" x14ac:dyDescent="0.35">
      <c r="A29" s="11" t="s">
        <v>490</v>
      </c>
      <c r="B29" s="12" t="s">
        <v>516</v>
      </c>
      <c r="C29" s="12" t="s">
        <v>517</v>
      </c>
      <c r="D29" s="12" t="s">
        <v>518</v>
      </c>
    </row>
    <row r="30" spans="1:6" x14ac:dyDescent="0.35">
      <c r="A30" s="11" t="s">
        <v>491</v>
      </c>
      <c r="B30" s="12" t="s">
        <v>520</v>
      </c>
      <c r="C30" s="12" t="s">
        <v>521</v>
      </c>
      <c r="D30" s="12"/>
    </row>
    <row r="31" spans="1:6" x14ac:dyDescent="0.35">
      <c r="A31" s="11" t="s">
        <v>492</v>
      </c>
      <c r="B31" s="12" t="s">
        <v>523</v>
      </c>
      <c r="C31" s="12" t="s">
        <v>524</v>
      </c>
      <c r="D31" s="12"/>
    </row>
    <row r="32" spans="1:6" x14ac:dyDescent="0.35">
      <c r="A32" s="11" t="s">
        <v>493</v>
      </c>
      <c r="B32" s="12" t="s">
        <v>526</v>
      </c>
      <c r="C32" s="12"/>
      <c r="D32" s="12" t="s">
        <v>525</v>
      </c>
    </row>
    <row r="34" spans="1:6" x14ac:dyDescent="0.35">
      <c r="A34" s="13" t="s">
        <v>494</v>
      </c>
    </row>
    <row r="36" spans="1:6" x14ac:dyDescent="0.35">
      <c r="A36" s="18" t="s">
        <v>527</v>
      </c>
      <c r="B36" s="19"/>
      <c r="C36" s="19"/>
      <c r="D36" s="19"/>
      <c r="E36" s="19"/>
      <c r="F36" s="19"/>
    </row>
    <row r="37" spans="1:6" x14ac:dyDescent="0.35">
      <c r="A37" s="19"/>
      <c r="B37" s="19"/>
      <c r="C37" s="19"/>
      <c r="D37" s="19"/>
      <c r="E37" s="19"/>
      <c r="F37" s="19"/>
    </row>
    <row r="38" spans="1:6" x14ac:dyDescent="0.35">
      <c r="A38" s="19"/>
      <c r="B38" s="19"/>
      <c r="C38" s="19"/>
      <c r="D38" s="19"/>
      <c r="E38" s="19"/>
      <c r="F38" s="19"/>
    </row>
    <row r="39" spans="1:6" x14ac:dyDescent="0.35">
      <c r="A39" s="19"/>
      <c r="B39" s="19"/>
      <c r="C39" s="19"/>
      <c r="D39" s="19"/>
      <c r="E39" s="19"/>
      <c r="F39" s="19"/>
    </row>
    <row r="40" spans="1:6" x14ac:dyDescent="0.35">
      <c r="A40" s="19"/>
      <c r="B40" s="19"/>
      <c r="C40" s="19"/>
      <c r="D40" s="19"/>
      <c r="E40" s="19"/>
      <c r="F40" s="19"/>
    </row>
    <row r="42" spans="1:6" ht="21.75" customHeight="1" x14ac:dyDescent="0.35">
      <c r="A42" s="8" t="s">
        <v>495</v>
      </c>
    </row>
    <row r="44" spans="1:6" x14ac:dyDescent="0.35">
      <c r="A44" s="14" t="s">
        <v>496</v>
      </c>
      <c r="B44" s="14"/>
    </row>
    <row r="46" spans="1:6" ht="31.5" customHeight="1" x14ac:dyDescent="0.35">
      <c r="A46" s="10" t="s">
        <v>497</v>
      </c>
      <c r="B46" s="10" t="s">
        <v>498</v>
      </c>
      <c r="C46" s="10" t="s">
        <v>499</v>
      </c>
    </row>
    <row r="47" spans="1:6" x14ac:dyDescent="0.35">
      <c r="A47" s="11">
        <v>1</v>
      </c>
      <c r="B47" s="12" t="s">
        <v>528</v>
      </c>
      <c r="C47" s="12" t="s">
        <v>529</v>
      </c>
    </row>
    <row r="48" spans="1:6" x14ac:dyDescent="0.35">
      <c r="A48" s="11">
        <v>2</v>
      </c>
      <c r="B48" s="12" t="s">
        <v>531</v>
      </c>
      <c r="C48" s="12" t="s">
        <v>530</v>
      </c>
    </row>
    <row r="49" spans="1:6" x14ac:dyDescent="0.35">
      <c r="A49" s="11">
        <v>3</v>
      </c>
      <c r="B49" s="12" t="s">
        <v>537</v>
      </c>
      <c r="C49" s="12" t="s">
        <v>532</v>
      </c>
    </row>
    <row r="50" spans="1:6" x14ac:dyDescent="0.35">
      <c r="A50" s="11">
        <v>4</v>
      </c>
      <c r="B50" s="12" t="s">
        <v>246</v>
      </c>
      <c r="C50" s="12" t="s">
        <v>534</v>
      </c>
    </row>
    <row r="51" spans="1:6" x14ac:dyDescent="0.35">
      <c r="A51" s="11">
        <v>5</v>
      </c>
      <c r="B51" s="12" t="s">
        <v>324</v>
      </c>
      <c r="C51" s="12" t="s">
        <v>536</v>
      </c>
    </row>
    <row r="52" spans="1:6" x14ac:dyDescent="0.35">
      <c r="A52" s="11">
        <v>6</v>
      </c>
      <c r="B52" s="12"/>
      <c r="C52" s="12"/>
    </row>
    <row r="54" spans="1:6" ht="21.75" customHeight="1" x14ac:dyDescent="0.35">
      <c r="A54" s="8" t="s">
        <v>500</v>
      </c>
    </row>
    <row r="56" spans="1:6" ht="41.4" customHeight="1" x14ac:dyDescent="0.35">
      <c r="A56" s="17" t="s">
        <v>501</v>
      </c>
      <c r="B56" s="17"/>
      <c r="C56" s="17"/>
    </row>
    <row r="58" spans="1:6" x14ac:dyDescent="0.35">
      <c r="A58" s="20" t="s">
        <v>533</v>
      </c>
      <c r="B58" s="19"/>
      <c r="C58" s="19"/>
      <c r="D58" s="19"/>
      <c r="E58" s="19"/>
      <c r="F58" s="19"/>
    </row>
    <row r="59" spans="1:6" x14ac:dyDescent="0.35">
      <c r="A59" s="19"/>
      <c r="B59" s="19"/>
      <c r="C59" s="19"/>
      <c r="D59" s="19"/>
      <c r="E59" s="19"/>
      <c r="F59" s="19"/>
    </row>
    <row r="60" spans="1:6" x14ac:dyDescent="0.35">
      <c r="A60" s="19"/>
      <c r="B60" s="19"/>
      <c r="C60" s="19"/>
      <c r="D60" s="19"/>
      <c r="E60" s="19"/>
      <c r="F60" s="19"/>
    </row>
    <row r="61" spans="1:6" x14ac:dyDescent="0.35">
      <c r="A61" s="19"/>
      <c r="B61" s="19"/>
      <c r="C61" s="19"/>
      <c r="D61" s="19"/>
      <c r="E61" s="19"/>
      <c r="F61" s="19"/>
    </row>
    <row r="62" spans="1:6" x14ac:dyDescent="0.35">
      <c r="A62" s="19"/>
      <c r="B62" s="19"/>
      <c r="C62" s="19"/>
      <c r="D62" s="19"/>
      <c r="E62" s="19"/>
      <c r="F62" s="19"/>
    </row>
    <row r="63" spans="1:6" x14ac:dyDescent="0.35">
      <c r="A63" s="19"/>
      <c r="B63" s="19"/>
      <c r="C63" s="19"/>
      <c r="D63" s="19"/>
      <c r="E63" s="19"/>
      <c r="F63" s="19"/>
    </row>
    <row r="64" spans="1:6" x14ac:dyDescent="0.35">
      <c r="A64" s="19"/>
      <c r="B64" s="19"/>
      <c r="C64" s="19"/>
      <c r="D64" s="19"/>
      <c r="E64" s="19"/>
      <c r="F64" s="19"/>
    </row>
    <row r="65" spans="1:6" x14ac:dyDescent="0.35">
      <c r="A65" s="19"/>
      <c r="B65" s="19"/>
      <c r="C65" s="19"/>
      <c r="D65" s="19"/>
      <c r="E65" s="19"/>
      <c r="F65" s="19"/>
    </row>
    <row r="66" spans="1:6" x14ac:dyDescent="0.35">
      <c r="A66" s="19"/>
      <c r="B66" s="19"/>
      <c r="C66" s="19"/>
      <c r="D66" s="19"/>
      <c r="E66" s="19"/>
      <c r="F66" s="19"/>
    </row>
    <row r="67" spans="1:6" x14ac:dyDescent="0.35">
      <c r="A67" s="19"/>
      <c r="B67" s="19"/>
      <c r="C67" s="19"/>
      <c r="D67" s="19"/>
      <c r="E67" s="19"/>
      <c r="F67" s="19"/>
    </row>
    <row r="69" spans="1:6" ht="21.75" customHeight="1" x14ac:dyDescent="0.35">
      <c r="A69" s="8" t="s">
        <v>502</v>
      </c>
    </row>
    <row r="71" spans="1:6" x14ac:dyDescent="0.35">
      <c r="A71" s="13" t="s">
        <v>503</v>
      </c>
    </row>
    <row r="73" spans="1:6" x14ac:dyDescent="0.35">
      <c r="A73" s="19" t="s">
        <v>535</v>
      </c>
      <c r="B73" s="19"/>
      <c r="C73" s="19"/>
      <c r="D73" s="19"/>
      <c r="E73" s="19"/>
      <c r="F73" s="19"/>
    </row>
    <row r="74" spans="1:6" x14ac:dyDescent="0.35">
      <c r="A74" s="19"/>
      <c r="B74" s="19"/>
      <c r="C74" s="19"/>
      <c r="D74" s="19"/>
      <c r="E74" s="19"/>
      <c r="F74" s="19"/>
    </row>
    <row r="75" spans="1:6" x14ac:dyDescent="0.35">
      <c r="A75" s="19"/>
      <c r="B75" s="19"/>
      <c r="C75" s="19"/>
      <c r="D75" s="19"/>
      <c r="E75" s="19"/>
      <c r="F75" s="19"/>
    </row>
    <row r="76" spans="1:6" x14ac:dyDescent="0.35">
      <c r="A76" s="19"/>
      <c r="B76" s="19"/>
      <c r="C76" s="19"/>
      <c r="D76" s="19"/>
      <c r="E76" s="19"/>
      <c r="F76" s="19"/>
    </row>
    <row r="77" spans="1:6" x14ac:dyDescent="0.35">
      <c r="A77" s="19"/>
      <c r="B77" s="19"/>
      <c r="C77" s="19"/>
      <c r="D77" s="19"/>
      <c r="E77" s="19"/>
      <c r="F77" s="19"/>
    </row>
    <row r="78" spans="1:6" x14ac:dyDescent="0.35">
      <c r="A78" s="19"/>
      <c r="B78" s="19"/>
      <c r="C78" s="19"/>
      <c r="D78" s="19"/>
      <c r="E78" s="19"/>
      <c r="F78" s="19"/>
    </row>
  </sheetData>
  <mergeCells count="5">
    <mergeCell ref="A3:C3"/>
    <mergeCell ref="A36:F40"/>
    <mergeCell ref="A56:C56"/>
    <mergeCell ref="A58:F67"/>
    <mergeCell ref="A73:F7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MAPPING</vt:lpstr>
      <vt:lpstr>Submission_Template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Nayak</dc:creator>
  <cp:lastModifiedBy>Aishwarya Nayak</cp:lastModifiedBy>
  <dcterms:created xsi:type="dcterms:W3CDTF">2026-08-17T15:07:38Z</dcterms:created>
  <dcterms:modified xsi:type="dcterms:W3CDTF">2026-08-19T10:53:47Z</dcterms:modified>
</cp:coreProperties>
</file>